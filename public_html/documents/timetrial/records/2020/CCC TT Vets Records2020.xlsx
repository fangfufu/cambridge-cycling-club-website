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9" sheetId="1" state="visible" r:id="rId2"/>
  </sheets>
  <definedNames>
    <definedName function="false" hidden="false" localSheetId="0" name="_xlnm.Print_Titles" vbProcedure="false">'2019'!$7:$8</definedName>
    <definedName function="false" hidden="false" localSheetId="0" name="_xlnm.Print_Titles" vbProcedure="false">'2019'!$7:$8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<sst xmlns="http://schemas.openxmlformats.org/spreadsheetml/2006/main" count="370" uniqueCount="175">
  <si>
    <t xml:space="preserve">CAMBRIDGE CC VETERANS' (age over 40) CURRENT RECORDS - 2020</t>
  </si>
  <si>
    <t xml:space="preserve">A Club member age 40 or over can only establish an age record provided no-one older, or of the same age, has claimed a faster time in an official CTT or Cambridge CC club event.</t>
  </si>
  <si>
    <t xml:space="preserve">NN = Current National Age Record          N = Formerly a National Age Record</t>
  </si>
  <si>
    <t xml:space="preserve">AA = Current East Anglian Age Record             A = Formerly an East Anglian Age Record</t>
  </si>
  <si>
    <t xml:space="preserve">For previous age records, see the All-Time Records list.</t>
  </si>
  <si>
    <t xml:space="preserve">Age</t>
  </si>
  <si>
    <t xml:space="preserve">Name</t>
  </si>
  <si>
    <t xml:space="preserve">Date</t>
  </si>
  <si>
    <t xml:space="preserve">Course</t>
  </si>
  <si>
    <t xml:space="preserve">Nat</t>
  </si>
  <si>
    <t xml:space="preserve">EA</t>
  </si>
  <si>
    <t xml:space="preserve">Time</t>
  </si>
  <si>
    <t xml:space="preserve">mph</t>
  </si>
  <si>
    <t xml:space="preserve">MEN'S SOLO BICYCLES</t>
  </si>
  <si>
    <t xml:space="preserve">10 miles</t>
  </si>
  <si>
    <t xml:space="preserve">David McGaw</t>
  </si>
  <si>
    <t xml:space="preserve">23.03.19</t>
  </si>
  <si>
    <t xml:space="preserve">E2/10</t>
  </si>
  <si>
    <t xml:space="preserve">Martin Reynolds</t>
  </si>
  <si>
    <t xml:space="preserve">14.07.19</t>
  </si>
  <si>
    <t xml:space="preserve">F11/10</t>
  </si>
  <si>
    <t xml:space="preserve">AA</t>
  </si>
  <si>
    <t xml:space="preserve">André Dyason</t>
  </si>
  <si>
    <t xml:space="preserve">22.07.17</t>
  </si>
  <si>
    <t xml:space="preserve">V718</t>
  </si>
  <si>
    <t xml:space="preserve">Ken Platts</t>
  </si>
  <si>
    <t xml:space="preserve">31.05.14</t>
  </si>
  <si>
    <t xml:space="preserve">N</t>
  </si>
  <si>
    <t xml:space="preserve">Andy Grant</t>
  </si>
  <si>
    <t xml:space="preserve">16.06.18</t>
  </si>
  <si>
    <t xml:space="preserve">15.06.19</t>
  </si>
  <si>
    <t xml:space="preserve">NN</t>
  </si>
  <si>
    <t xml:space="preserve">Chris Dyason</t>
  </si>
  <si>
    <t xml:space="preserve">02.09.17</t>
  </si>
  <si>
    <t xml:space="preserve">15.07.18</t>
  </si>
  <si>
    <t xml:space="preserve">Peter Baumber</t>
  </si>
  <si>
    <t xml:space="preserve">14.08.04</t>
  </si>
  <si>
    <t xml:space="preserve">A</t>
  </si>
  <si>
    <t xml:space="preserve">08.08.09</t>
  </si>
  <si>
    <t xml:space="preserve">30.06.10</t>
  </si>
  <si>
    <t xml:space="preserve">B10/3</t>
  </si>
  <si>
    <t xml:space="preserve">20.06.13</t>
  </si>
  <si>
    <t xml:space="preserve">15 miles</t>
  </si>
  <si>
    <t xml:space="preserve">17.08.19</t>
  </si>
  <si>
    <t xml:space="preserve">F2/15</t>
  </si>
  <si>
    <t xml:space="preserve">10.07.19</t>
  </si>
  <si>
    <t xml:space="preserve">B15/1</t>
  </si>
  <si>
    <t xml:space="preserve">5.9.20</t>
  </si>
  <si>
    <t xml:space="preserve">18.07.18</t>
  </si>
  <si>
    <t xml:space="preserve">24.03.19</t>
  </si>
  <si>
    <t xml:space="preserve">B15/2</t>
  </si>
  <si>
    <t xml:space="preserve">03.07.13</t>
  </si>
  <si>
    <t xml:space="preserve">25 miles</t>
  </si>
  <si>
    <t xml:space="preserve">14.07.12</t>
  </si>
  <si>
    <t xml:space="preserve">E2/25</t>
  </si>
  <si>
    <t xml:space="preserve">03.06.18</t>
  </si>
  <si>
    <t xml:space="preserve">R25/3H</t>
  </si>
  <si>
    <t xml:space="preserve">23.06.19</t>
  </si>
  <si>
    <t xml:space="preserve">26.08.17</t>
  </si>
  <si>
    <t xml:space="preserve">08.09.18</t>
  </si>
  <si>
    <t xml:space="preserve">06.04.19</t>
  </si>
  <si>
    <t xml:space="preserve">F1b/25</t>
  </si>
  <si>
    <t xml:space="preserve">24.06.06</t>
  </si>
  <si>
    <t xml:space="preserve">09.09.07</t>
  </si>
  <si>
    <t xml:space="preserve">04.09.10</t>
  </si>
  <si>
    <t xml:space="preserve">29.06.13</t>
  </si>
  <si>
    <t xml:space="preserve">30 miles</t>
  </si>
  <si>
    <t xml:space="preserve">Bob Watson</t>
  </si>
  <si>
    <t xml:space="preserve">22.09.18</t>
  </si>
  <si>
    <t xml:space="preserve">E2/30c</t>
  </si>
  <si>
    <t xml:space="preserve">The Club Senior record</t>
  </si>
  <si>
    <t xml:space="preserve">03.10.15</t>
  </si>
  <si>
    <t xml:space="preserve">E2/30</t>
  </si>
  <si>
    <t xml:space="preserve">20.06.19</t>
  </si>
  <si>
    <t xml:space="preserve">B30/1</t>
  </si>
  <si>
    <t xml:space="preserve">08.06.03</t>
  </si>
  <si>
    <t xml:space="preserve">E5/30e</t>
  </si>
  <si>
    <t xml:space="preserve">09.07.05</t>
  </si>
  <si>
    <t xml:space="preserve">22.07.07</t>
  </si>
  <si>
    <t xml:space="preserve">28.06.08</t>
  </si>
  <si>
    <t xml:space="preserve">05.10.13</t>
  </si>
  <si>
    <t xml:space="preserve">50 miles</t>
  </si>
  <si>
    <t xml:space="preserve">31.05.08</t>
  </si>
  <si>
    <t xml:space="preserve">E2/50c</t>
  </si>
  <si>
    <t xml:space="preserve">12.05.18</t>
  </si>
  <si>
    <t xml:space="preserve">15.8.20</t>
  </si>
  <si>
    <t xml:space="preserve">21.07.19</t>
  </si>
  <si>
    <t xml:space="preserve">26.07.08</t>
  </si>
  <si>
    <t xml:space="preserve">E2/50</t>
  </si>
  <si>
    <t xml:space="preserve">100 miles</t>
  </si>
  <si>
    <t xml:space="preserve">26.06.11</t>
  </si>
  <si>
    <t xml:space="preserve">E2/100</t>
  </si>
  <si>
    <t xml:space="preserve">B100/4</t>
  </si>
  <si>
    <t xml:space="preserve">30.08.98</t>
  </si>
  <si>
    <t xml:space="preserve">B100/8</t>
  </si>
  <si>
    <t xml:space="preserve">30.07.00</t>
  </si>
  <si>
    <t xml:space="preserve">F1/100</t>
  </si>
  <si>
    <t xml:space="preserve">12 hours</t>
  </si>
  <si>
    <t xml:space="preserve">19.08.07</t>
  </si>
  <si>
    <t xml:space="preserve">E2/12hr</t>
  </si>
  <si>
    <t xml:space="preserve">283.10m</t>
  </si>
  <si>
    <t xml:space="preserve">22.08.10</t>
  </si>
  <si>
    <t xml:space="preserve">280.57m</t>
  </si>
  <si>
    <t xml:space="preserve">17.08.13</t>
  </si>
  <si>
    <t xml:space="preserve">275.06m</t>
  </si>
  <si>
    <t xml:space="preserve">Ted Wells</t>
  </si>
  <si>
    <t xml:space="preserve">12.09.93</t>
  </si>
  <si>
    <t xml:space="preserve">F1</t>
  </si>
  <si>
    <t xml:space="preserve">226.79m</t>
  </si>
  <si>
    <t xml:space="preserve">24 hours</t>
  </si>
  <si>
    <t xml:space="preserve">Bill Clough</t>
  </si>
  <si>
    <t xml:space="preserve">29.08.93</t>
  </si>
  <si>
    <t xml:space="preserve">B24</t>
  </si>
  <si>
    <t xml:space="preserve">398.63m</t>
  </si>
  <si>
    <t xml:space="preserve">26.08.95</t>
  </si>
  <si>
    <t xml:space="preserve">B24/1</t>
  </si>
  <si>
    <t xml:space="preserve">387.10m</t>
  </si>
  <si>
    <t xml:space="preserve">21.06.92</t>
  </si>
  <si>
    <t xml:space="preserve">B24/2</t>
  </si>
  <si>
    <t xml:space="preserve">360.69m</t>
  </si>
  <si>
    <t xml:space="preserve">WOMEN'S SOLO BICYCLES</t>
  </si>
  <si>
    <t xml:space="preserve">Ann Shuttleworth</t>
  </si>
  <si>
    <t xml:space="preserve">14.09.19</t>
  </si>
  <si>
    <t xml:space="preserve">B10/3a</t>
  </si>
  <si>
    <t xml:space="preserve">MEN'S TRICYCLES</t>
  </si>
  <si>
    <t xml:space="preserve">Mick Draper</t>
  </si>
  <si>
    <t xml:space="preserve">14.06.90</t>
  </si>
  <si>
    <t xml:space="preserve">2y10</t>
  </si>
  <si>
    <t xml:space="preserve">Ken Usher</t>
  </si>
  <si>
    <t xml:space="preserve">27.05.95</t>
  </si>
  <si>
    <t xml:space="preserve">C10/1</t>
  </si>
  <si>
    <t xml:space="preserve">21.05.11</t>
  </si>
  <si>
    <t xml:space="preserve">John Lindsell</t>
  </si>
  <si>
    <t xml:space="preserve">22.09.01</t>
  </si>
  <si>
    <t xml:space="preserve">13.06.02</t>
  </si>
  <si>
    <t xml:space="preserve">20.08.95</t>
  </si>
  <si>
    <t xml:space="preserve">F1a</t>
  </si>
  <si>
    <t xml:space="preserve">B25/38</t>
  </si>
  <si>
    <t xml:space="preserve">17.08.03</t>
  </si>
  <si>
    <t xml:space="preserve">26.09.04</t>
  </si>
  <si>
    <t xml:space="preserve">F1/25</t>
  </si>
  <si>
    <t xml:space="preserve">24.09.06</t>
  </si>
  <si>
    <t xml:space="preserve">03.06.89</t>
  </si>
  <si>
    <t xml:space="preserve">E72</t>
  </si>
  <si>
    <t xml:space="preserve">18.05.91</t>
  </si>
  <si>
    <t xml:space="preserve">B30/6</t>
  </si>
  <si>
    <t xml:space="preserve">17.05.92</t>
  </si>
  <si>
    <t xml:space="preserve">16.06.93</t>
  </si>
  <si>
    <t xml:space="preserve">29.09.01</t>
  </si>
  <si>
    <t xml:space="preserve">E1/30</t>
  </si>
  <si>
    <t xml:space="preserve">27.09.03</t>
  </si>
  <si>
    <t xml:space="preserve">03.10.04</t>
  </si>
  <si>
    <t xml:space="preserve">06.08.95</t>
  </si>
  <si>
    <t xml:space="preserve">F1g</t>
  </si>
  <si>
    <t xml:space="preserve">10.06.84</t>
  </si>
  <si>
    <t xml:space="preserve">25.06.89</t>
  </si>
  <si>
    <t xml:space="preserve">16.06.90</t>
  </si>
  <si>
    <t xml:space="preserve">08.08.93</t>
  </si>
  <si>
    <t xml:space="preserve">17.08.86</t>
  </si>
  <si>
    <t xml:space="preserve">E39</t>
  </si>
  <si>
    <t xml:space="preserve">16.08.87</t>
  </si>
  <si>
    <t xml:space="preserve">03.07.88</t>
  </si>
  <si>
    <t xml:space="preserve">02.07.89</t>
  </si>
  <si>
    <t xml:space="preserve">07.07.91</t>
  </si>
  <si>
    <t xml:space="preserve">F1d</t>
  </si>
  <si>
    <t xml:space="preserve">04.07.93</t>
  </si>
  <si>
    <t xml:space="preserve">F1h</t>
  </si>
  <si>
    <t xml:space="preserve">239.23m</t>
  </si>
  <si>
    <t xml:space="preserve">11.09.88</t>
  </si>
  <si>
    <t xml:space="preserve">205.73m</t>
  </si>
  <si>
    <t xml:space="preserve">Making a claim</t>
  </si>
  <si>
    <t xml:space="preserve">If you wish to make a claim for a record, send details of the event, date, time and distance either:</t>
  </si>
  <si>
    <t xml:space="preserve">By email to: - records@cambridgecc.co.uk </t>
  </si>
  <si>
    <t xml:space="preserve">Or by post to: - Ken Platts, 7 Offa Lea, Newton, Cambridge CB22 7PW  </t>
  </si>
  <si>
    <t xml:space="preserve">Note that only rides in Official CTT events or Cambridge CC club events qualify.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</si>
</sst>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H]:MM:SS"/>
    <numFmt numFmtId="166" formatCode="0.0"/>
    <numFmt numFmtId="167" formatCode="HH:MM:SS"/>
    <numFmt numFmtId="168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A38" activeCellId="0" sqref="A38"/>
    </sheetView>
  </sheetViews>
  <sheetFormatPr defaultRowHeight="12.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5.91"/>
    <col collapsed="false" customWidth="true" hidden="false" outlineLevel="0" max="3" min="3" style="0" width="20.72"/>
    <col collapsed="false" customWidth="false" hidden="false" outlineLevel="0" max="6" min="4" style="0" width="11.54"/>
    <col collapsed="false" customWidth="true" hidden="false" outlineLevel="0" max="7" min="7" style="0" width="15.81"/>
    <col collapsed="false" customWidth="false" hidden="false" outlineLevel="0" max="1025" min="8" style="0" width="11.54"/>
  </cols>
  <sheetData>
    <row r="1" s="2" customFormat="tru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2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2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2.7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="7" customFormat="true" ht="30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</row>
    <row r="7" customFormat="false" ht="15.5" hidden="false" customHeight="false" outlineLevel="0" collapsed="false">
      <c r="B7" s="8"/>
      <c r="C7" s="9"/>
      <c r="D7" s="8"/>
      <c r="E7" s="9"/>
      <c r="F7" s="9"/>
      <c r="G7" s="8"/>
      <c r="H7" s="8"/>
      <c r="I7" s="10"/>
      <c r="J7" s="11"/>
    </row>
    <row r="8" customFormat="false" ht="15.5" hidden="false" customHeight="false" outlineLevel="0" collapsed="false">
      <c r="A8" s="12"/>
      <c r="B8" s="13" t="s">
        <v>5</v>
      </c>
      <c r="C8" s="14" t="s">
        <v>6</v>
      </c>
      <c r="D8" s="13" t="s">
        <v>7</v>
      </c>
      <c r="E8" s="14" t="s">
        <v>8</v>
      </c>
      <c r="F8" s="14"/>
      <c r="G8" s="13" t="s">
        <v>9</v>
      </c>
      <c r="H8" s="13" t="s">
        <v>10</v>
      </c>
      <c r="I8" s="15" t="s">
        <v>11</v>
      </c>
      <c r="J8" s="16" t="s">
        <v>12</v>
      </c>
    </row>
    <row r="9" customFormat="false" ht="22.75" hidden="false" customHeight="true" outlineLevel="0" collapsed="false">
      <c r="A9" s="17" t="s">
        <v>13</v>
      </c>
      <c r="B9" s="8"/>
      <c r="C9" s="9"/>
      <c r="D9" s="8"/>
      <c r="E9" s="9"/>
      <c r="F9" s="9"/>
      <c r="G9" s="8"/>
      <c r="H9" s="8"/>
      <c r="I9" s="10"/>
      <c r="J9" s="11"/>
    </row>
    <row r="10" customFormat="false" ht="15.5" hidden="false" customHeight="false" outlineLevel="0" collapsed="false">
      <c r="A10" s="17" t="s">
        <v>14</v>
      </c>
      <c r="B10" s="18" t="n">
        <v>40</v>
      </c>
      <c r="C10" s="19" t="s">
        <v>15</v>
      </c>
      <c r="D10" s="18" t="s">
        <v>16</v>
      </c>
      <c r="E10" s="19" t="s">
        <v>17</v>
      </c>
      <c r="F10" s="19"/>
      <c r="G10" s="18"/>
      <c r="H10" s="18"/>
      <c r="I10" s="20" t="n">
        <v>0.0135763888888889</v>
      </c>
      <c r="J10" s="11" t="n">
        <f aca="false">10/(I10*24)</f>
        <v>30.690537084399</v>
      </c>
    </row>
    <row r="11" customFormat="false" ht="15.5" hidden="false" customHeight="false" outlineLevel="0" collapsed="false">
      <c r="A11" s="17"/>
      <c r="B11" s="8" t="n">
        <v>56</v>
      </c>
      <c r="C11" s="9" t="s">
        <v>18</v>
      </c>
      <c r="D11" s="8" t="s">
        <v>19</v>
      </c>
      <c r="E11" s="9" t="s">
        <v>20</v>
      </c>
      <c r="F11" s="9"/>
      <c r="G11" s="8"/>
      <c r="H11" s="8" t="s">
        <v>21</v>
      </c>
      <c r="I11" s="10" t="n">
        <v>0.0136111111111111</v>
      </c>
      <c r="J11" s="11" t="n">
        <f aca="false">10/(I11*24)</f>
        <v>30.6122448979592</v>
      </c>
    </row>
    <row r="12" customFormat="false" ht="15.5" hidden="false" customHeight="false" outlineLevel="0" collapsed="false">
      <c r="A12" s="17"/>
      <c r="B12" s="8" t="n">
        <v>57</v>
      </c>
      <c r="C12" s="9" t="s">
        <v>22</v>
      </c>
      <c r="D12" s="8" t="s">
        <v>23</v>
      </c>
      <c r="E12" s="9" t="s">
        <v>24</v>
      </c>
      <c r="F12" s="9"/>
      <c r="G12" s="8"/>
      <c r="H12" s="8" t="s">
        <v>21</v>
      </c>
      <c r="I12" s="10" t="n">
        <v>0.0138078703703704</v>
      </c>
      <c r="J12" s="11" t="n">
        <f aca="false">10/(I12*24)</f>
        <v>30.1760268231349</v>
      </c>
    </row>
    <row r="13" customFormat="false" ht="15.5" hidden="false" customHeight="false" outlineLevel="0" collapsed="false">
      <c r="A13" s="17"/>
      <c r="B13" s="8" t="n">
        <v>62</v>
      </c>
      <c r="C13" s="9" t="s">
        <v>25</v>
      </c>
      <c r="D13" s="8" t="s">
        <v>26</v>
      </c>
      <c r="E13" s="9" t="s">
        <v>17</v>
      </c>
      <c r="F13" s="9"/>
      <c r="G13" s="8" t="s">
        <v>27</v>
      </c>
      <c r="H13" s="8" t="s">
        <v>21</v>
      </c>
      <c r="I13" s="10" t="n">
        <v>0.0139467592592593</v>
      </c>
      <c r="J13" s="11" t="n">
        <f aca="false">10/(I13*24)</f>
        <v>29.8755186721991</v>
      </c>
    </row>
    <row r="14" customFormat="false" ht="15.5" hidden="false" customHeight="false" outlineLevel="0" collapsed="false">
      <c r="A14" s="17"/>
      <c r="B14" s="8" t="n">
        <v>65</v>
      </c>
      <c r="C14" s="9" t="s">
        <v>28</v>
      </c>
      <c r="D14" s="8" t="s">
        <v>29</v>
      </c>
      <c r="E14" s="9" t="s">
        <v>20</v>
      </c>
      <c r="F14" s="9"/>
      <c r="G14" s="8"/>
      <c r="H14" s="8" t="s">
        <v>21</v>
      </c>
      <c r="I14" s="10" t="n">
        <v>0.0139583333333333</v>
      </c>
      <c r="J14" s="11" t="n">
        <f aca="false">10/(I14*24)</f>
        <v>29.8507462686568</v>
      </c>
    </row>
    <row r="15" customFormat="false" ht="15.5" hidden="false" customHeight="false" outlineLevel="0" collapsed="false">
      <c r="A15" s="17"/>
      <c r="B15" s="8" t="n">
        <v>66</v>
      </c>
      <c r="C15" s="9" t="s">
        <v>28</v>
      </c>
      <c r="D15" s="8" t="s">
        <v>30</v>
      </c>
      <c r="E15" s="9" t="s">
        <v>20</v>
      </c>
      <c r="F15" s="9"/>
      <c r="G15" s="8" t="s">
        <v>31</v>
      </c>
      <c r="H15" s="8" t="s">
        <v>21</v>
      </c>
      <c r="I15" s="10" t="n">
        <v>0.0139814814814815</v>
      </c>
      <c r="J15" s="11" t="n">
        <f aca="false">10/(I15*24)</f>
        <v>29.8013245033112</v>
      </c>
    </row>
    <row r="16" customFormat="false" ht="15.5" hidden="false" customHeight="false" outlineLevel="0" collapsed="false">
      <c r="A16" s="17"/>
      <c r="B16" s="8" t="n">
        <v>69</v>
      </c>
      <c r="C16" s="9" t="s">
        <v>32</v>
      </c>
      <c r="D16" s="8" t="s">
        <v>33</v>
      </c>
      <c r="E16" s="9" t="s">
        <v>24</v>
      </c>
      <c r="F16" s="9"/>
      <c r="G16" s="8"/>
      <c r="H16" s="8" t="s">
        <v>21</v>
      </c>
      <c r="I16" s="10" t="n">
        <v>0.0146064814814815</v>
      </c>
      <c r="J16" s="11" t="n">
        <f aca="false">10/(I16*24)</f>
        <v>28.526148969889</v>
      </c>
    </row>
    <row r="17" customFormat="false" ht="15.5" hidden="false" customHeight="false" outlineLevel="0" collapsed="false">
      <c r="A17" s="17"/>
      <c r="B17" s="8" t="n">
        <v>70</v>
      </c>
      <c r="C17" s="9" t="s">
        <v>32</v>
      </c>
      <c r="D17" s="8" t="s">
        <v>34</v>
      </c>
      <c r="E17" s="9" t="s">
        <v>20</v>
      </c>
      <c r="F17" s="9"/>
      <c r="G17" s="8"/>
      <c r="H17" s="8" t="s">
        <v>21</v>
      </c>
      <c r="I17" s="10" t="n">
        <v>0.0150694444444444</v>
      </c>
      <c r="J17" s="11" t="n">
        <f aca="false">10/(I17*24)</f>
        <v>27.6497695852535</v>
      </c>
    </row>
    <row r="18" customFormat="false" ht="15.5" hidden="false" customHeight="false" outlineLevel="0" collapsed="false">
      <c r="A18" s="17"/>
      <c r="B18" s="8" t="n">
        <v>71</v>
      </c>
      <c r="C18" s="9" t="s">
        <v>32</v>
      </c>
      <c r="D18" s="8" t="s">
        <v>30</v>
      </c>
      <c r="E18" s="9" t="s">
        <v>20</v>
      </c>
      <c r="F18" s="9"/>
      <c r="G18" s="8"/>
      <c r="H18" s="8"/>
      <c r="I18" s="10" t="n">
        <v>0.0150925925925926</v>
      </c>
      <c r="J18" s="11" t="n">
        <f aca="false">10/(I18*24)</f>
        <v>27.6073619631902</v>
      </c>
    </row>
    <row r="19" customFormat="false" ht="15.5" hidden="false" customHeight="false" outlineLevel="0" collapsed="false">
      <c r="A19" s="17"/>
      <c r="B19" s="8" t="n">
        <v>73</v>
      </c>
      <c r="C19" s="9" t="s">
        <v>35</v>
      </c>
      <c r="D19" s="8" t="s">
        <v>36</v>
      </c>
      <c r="E19" s="9" t="s">
        <v>17</v>
      </c>
      <c r="F19" s="9"/>
      <c r="G19" s="8"/>
      <c r="H19" s="8" t="s">
        <v>37</v>
      </c>
      <c r="I19" s="10" t="n">
        <v>0.0163425925925926</v>
      </c>
      <c r="J19" s="11" t="n">
        <f aca="false">10/(I19*24)</f>
        <v>25.4957507082153</v>
      </c>
    </row>
    <row r="20" customFormat="false" ht="15.5" hidden="false" customHeight="false" outlineLevel="0" collapsed="false">
      <c r="A20" s="17"/>
      <c r="B20" s="8" t="n">
        <v>78</v>
      </c>
      <c r="C20" s="9" t="s">
        <v>35</v>
      </c>
      <c r="D20" s="8" t="s">
        <v>38</v>
      </c>
      <c r="E20" s="9" t="s">
        <v>17</v>
      </c>
      <c r="F20" s="9"/>
      <c r="G20" s="8"/>
      <c r="H20" s="8" t="s">
        <v>37</v>
      </c>
      <c r="I20" s="10" t="n">
        <v>0.0167361111111111</v>
      </c>
      <c r="J20" s="11" t="n">
        <f aca="false">10/(I20*24)</f>
        <v>24.896265560166</v>
      </c>
    </row>
    <row r="21" customFormat="false" ht="15.5" hidden="false" customHeight="false" outlineLevel="0" collapsed="false">
      <c r="A21" s="17"/>
      <c r="B21" s="8" t="n">
        <v>79</v>
      </c>
      <c r="C21" s="9" t="s">
        <v>35</v>
      </c>
      <c r="D21" s="8" t="s">
        <v>39</v>
      </c>
      <c r="E21" s="9" t="s">
        <v>40</v>
      </c>
      <c r="F21" s="9"/>
      <c r="G21" s="8"/>
      <c r="H21" s="8"/>
      <c r="I21" s="10" t="n">
        <v>0.0170833333333333</v>
      </c>
      <c r="J21" s="11" t="n">
        <f aca="false">10/(I21*24)</f>
        <v>24.3902439024391</v>
      </c>
    </row>
    <row r="22" customFormat="false" ht="15.5" hidden="false" customHeight="false" outlineLevel="0" collapsed="false">
      <c r="A22" s="17"/>
      <c r="B22" s="8" t="n">
        <v>82</v>
      </c>
      <c r="C22" s="9" t="s">
        <v>35</v>
      </c>
      <c r="D22" s="8" t="s">
        <v>41</v>
      </c>
      <c r="E22" s="9" t="s">
        <v>40</v>
      </c>
      <c r="F22" s="9"/>
      <c r="G22" s="8"/>
      <c r="H22" s="8"/>
      <c r="I22" s="10" t="n">
        <v>0.0175694444444444</v>
      </c>
      <c r="J22" s="11" t="n">
        <f aca="false">10/(I22*24)</f>
        <v>23.7154150197629</v>
      </c>
    </row>
    <row r="23" customFormat="false" ht="15.5" hidden="false" customHeight="false" outlineLevel="0" collapsed="false">
      <c r="A23" s="17"/>
      <c r="B23" s="8"/>
      <c r="C23" s="9"/>
      <c r="D23" s="8"/>
      <c r="E23" s="9"/>
      <c r="F23" s="9"/>
      <c r="G23" s="8"/>
      <c r="H23" s="8"/>
      <c r="I23" s="10"/>
      <c r="J23" s="11"/>
    </row>
    <row r="24" customFormat="false" ht="15.5" hidden="false" customHeight="false" outlineLevel="0" collapsed="false">
      <c r="A24" s="17" t="s">
        <v>42</v>
      </c>
      <c r="B24" s="8" t="n">
        <v>56</v>
      </c>
      <c r="C24" s="9" t="s">
        <v>18</v>
      </c>
      <c r="D24" s="8" t="s">
        <v>43</v>
      </c>
      <c r="E24" s="9" t="s">
        <v>44</v>
      </c>
      <c r="F24" s="9"/>
      <c r="G24" s="8"/>
      <c r="H24" s="8" t="s">
        <v>21</v>
      </c>
      <c r="I24" s="10" t="n">
        <v>0.0212037037037037</v>
      </c>
      <c r="J24" s="11" t="n">
        <f aca="false">15/(I24*24)</f>
        <v>29.4759825327511</v>
      </c>
    </row>
    <row r="25" customFormat="false" ht="15.5" hidden="false" customHeight="false" outlineLevel="0" collapsed="false">
      <c r="A25" s="17"/>
      <c r="B25" s="8" t="n">
        <v>66</v>
      </c>
      <c r="C25" s="9" t="s">
        <v>28</v>
      </c>
      <c r="D25" s="8" t="s">
        <v>45</v>
      </c>
      <c r="E25" s="9" t="s">
        <v>46</v>
      </c>
      <c r="F25" s="9"/>
      <c r="G25" s="8" t="s">
        <v>31</v>
      </c>
      <c r="H25" s="8" t="s">
        <v>21</v>
      </c>
      <c r="I25" s="10" t="n">
        <v>0.0216087962962963</v>
      </c>
      <c r="J25" s="11" t="n">
        <f aca="false">15/(I25*24)</f>
        <v>28.9234065345474</v>
      </c>
    </row>
    <row r="26" customFormat="false" ht="15.5" hidden="false" customHeight="false" outlineLevel="0" collapsed="false">
      <c r="A26" s="17"/>
      <c r="B26" s="8" t="n">
        <v>67</v>
      </c>
      <c r="C26" s="9" t="s">
        <v>28</v>
      </c>
      <c r="D26" s="8" t="s">
        <v>47</v>
      </c>
      <c r="E26" s="9" t="s">
        <v>46</v>
      </c>
      <c r="F26" s="9"/>
      <c r="G26" s="8"/>
      <c r="H26" s="8" t="s">
        <v>21</v>
      </c>
      <c r="I26" s="10" t="n">
        <v>0.0223148148148148</v>
      </c>
      <c r="J26" s="11" t="n">
        <f aca="false">15/(I26*24)</f>
        <v>28.0082987551867</v>
      </c>
    </row>
    <row r="27" customFormat="false" ht="15.5" hidden="false" customHeight="false" outlineLevel="0" collapsed="false">
      <c r="A27" s="17"/>
      <c r="B27" s="8" t="n">
        <v>68</v>
      </c>
      <c r="C27" s="9" t="s">
        <v>25</v>
      </c>
      <c r="D27" s="8" t="s">
        <v>47</v>
      </c>
      <c r="E27" s="9" t="s">
        <v>46</v>
      </c>
      <c r="F27" s="9"/>
      <c r="G27" s="8"/>
      <c r="H27" s="8"/>
      <c r="I27" s="10" t="n">
        <v>0.0234722222222222</v>
      </c>
      <c r="J27" s="11" t="n">
        <f aca="false">15/(I27*24)</f>
        <v>26.6272189349112</v>
      </c>
    </row>
    <row r="28" customFormat="false" ht="15.5" hidden="false" customHeight="false" outlineLevel="0" collapsed="false">
      <c r="A28" s="17"/>
      <c r="B28" s="8" t="n">
        <v>70</v>
      </c>
      <c r="C28" s="9" t="s">
        <v>32</v>
      </c>
      <c r="D28" s="8" t="s">
        <v>48</v>
      </c>
      <c r="E28" s="9" t="s">
        <v>46</v>
      </c>
      <c r="F28" s="9"/>
      <c r="G28" s="8" t="s">
        <v>27</v>
      </c>
      <c r="H28" s="8" t="s">
        <v>37</v>
      </c>
      <c r="I28" s="10" t="n">
        <v>0.0236111111111111</v>
      </c>
      <c r="J28" s="11" t="n">
        <f aca="false">15/(I28*24)</f>
        <v>26.4705882352941</v>
      </c>
    </row>
    <row r="29" customFormat="false" ht="15.5" hidden="false" customHeight="false" outlineLevel="0" collapsed="false">
      <c r="A29" s="17"/>
      <c r="B29" s="8" t="n">
        <v>71</v>
      </c>
      <c r="C29" s="9" t="s">
        <v>32</v>
      </c>
      <c r="D29" s="8" t="s">
        <v>49</v>
      </c>
      <c r="E29" s="9" t="s">
        <v>50</v>
      </c>
      <c r="F29" s="9"/>
      <c r="G29" s="8"/>
      <c r="H29" s="8"/>
      <c r="I29" s="10" t="n">
        <v>0.0248148148148148</v>
      </c>
      <c r="J29" s="11" t="n">
        <f aca="false">15/(I29*24)</f>
        <v>25.1865671641791</v>
      </c>
    </row>
    <row r="30" customFormat="false" ht="15.5" hidden="false" customHeight="false" outlineLevel="0" collapsed="false">
      <c r="A30" s="17"/>
      <c r="B30" s="8" t="n">
        <v>82</v>
      </c>
      <c r="C30" s="9" t="s">
        <v>35</v>
      </c>
      <c r="D30" s="8" t="s">
        <v>51</v>
      </c>
      <c r="E30" s="9" t="s">
        <v>46</v>
      </c>
      <c r="F30" s="9"/>
      <c r="G30" s="8"/>
      <c r="H30" s="8" t="s">
        <v>21</v>
      </c>
      <c r="I30" s="10" t="n">
        <v>0.0275231481481481</v>
      </c>
      <c r="J30" s="11" t="n">
        <f aca="false">15/(I30*24)</f>
        <v>22.708158116064</v>
      </c>
    </row>
    <row r="31" customFormat="false" ht="15.5" hidden="false" customHeight="false" outlineLevel="0" collapsed="false">
      <c r="A31" s="17"/>
      <c r="B31" s="8"/>
      <c r="C31" s="9"/>
      <c r="D31" s="8"/>
      <c r="E31" s="9"/>
      <c r="F31" s="9"/>
      <c r="G31" s="8"/>
      <c r="H31" s="8"/>
      <c r="I31" s="10"/>
      <c r="J31" s="11"/>
    </row>
    <row r="32" customFormat="false" ht="15.5" hidden="false" customHeight="false" outlineLevel="0" collapsed="false">
      <c r="A32" s="17" t="s">
        <v>52</v>
      </c>
      <c r="B32" s="8" t="n">
        <v>60</v>
      </c>
      <c r="C32" s="9" t="s">
        <v>25</v>
      </c>
      <c r="D32" s="8" t="s">
        <v>53</v>
      </c>
      <c r="E32" s="9" t="s">
        <v>54</v>
      </c>
      <c r="F32" s="9"/>
      <c r="G32" s="8" t="s">
        <v>27</v>
      </c>
      <c r="H32" s="8" t="s">
        <v>21</v>
      </c>
      <c r="I32" s="10" t="n">
        <v>0.0346875</v>
      </c>
      <c r="J32" s="11" t="n">
        <f aca="false">25/(I32*24)</f>
        <v>30.03003003003</v>
      </c>
    </row>
    <row r="33" customFormat="false" ht="15.5" hidden="false" customHeight="false" outlineLevel="0" collapsed="false">
      <c r="A33" s="17"/>
      <c r="B33" s="8" t="n">
        <v>65</v>
      </c>
      <c r="C33" s="9" t="s">
        <v>28</v>
      </c>
      <c r="D33" s="8" t="s">
        <v>55</v>
      </c>
      <c r="E33" s="9" t="s">
        <v>56</v>
      </c>
      <c r="F33" s="9"/>
      <c r="G33" s="8" t="s">
        <v>27</v>
      </c>
      <c r="H33" s="8" t="s">
        <v>21</v>
      </c>
      <c r="I33" s="10" t="n">
        <v>0.035150462962963</v>
      </c>
      <c r="J33" s="11" t="n">
        <f aca="false">25/(I33*24)</f>
        <v>29.6345077378992</v>
      </c>
    </row>
    <row r="34" customFormat="false" ht="15.5" hidden="false" customHeight="false" outlineLevel="0" collapsed="false">
      <c r="A34" s="17"/>
      <c r="B34" s="8" t="n">
        <v>66</v>
      </c>
      <c r="C34" s="9" t="s">
        <v>28</v>
      </c>
      <c r="D34" s="8" t="s">
        <v>57</v>
      </c>
      <c r="E34" s="9" t="s">
        <v>56</v>
      </c>
      <c r="F34" s="9"/>
      <c r="G34" s="8"/>
      <c r="H34" s="8" t="s">
        <v>21</v>
      </c>
      <c r="I34" s="10" t="n">
        <v>0.0366203703703704</v>
      </c>
      <c r="J34" s="11" t="n">
        <f aca="false">25/(I34*24)</f>
        <v>28.4450063211125</v>
      </c>
    </row>
    <row r="35" customFormat="false" ht="15.5" hidden="false" customHeight="false" outlineLevel="0" collapsed="false">
      <c r="A35" s="17"/>
      <c r="B35" s="8" t="n">
        <v>69</v>
      </c>
      <c r="C35" s="9" t="s">
        <v>32</v>
      </c>
      <c r="D35" s="8" t="s">
        <v>58</v>
      </c>
      <c r="E35" s="9" t="s">
        <v>54</v>
      </c>
      <c r="F35" s="9"/>
      <c r="G35" s="8"/>
      <c r="H35" s="8" t="s">
        <v>21</v>
      </c>
      <c r="I35" s="10" t="n">
        <v>0.0380324074074074</v>
      </c>
      <c r="J35" s="11" t="n">
        <f aca="false">25/(I35*24)</f>
        <v>27.3889227023737</v>
      </c>
    </row>
    <row r="36" customFormat="false" ht="15.5" hidden="false" customHeight="false" outlineLevel="0" collapsed="false">
      <c r="A36" s="17"/>
      <c r="B36" s="8" t="n">
        <v>70</v>
      </c>
      <c r="C36" s="9" t="s">
        <v>32</v>
      </c>
      <c r="D36" s="8" t="s">
        <v>59</v>
      </c>
      <c r="E36" s="9" t="s">
        <v>54</v>
      </c>
      <c r="F36" s="9"/>
      <c r="G36" s="8"/>
      <c r="H36" s="8"/>
      <c r="I36" s="10" t="n">
        <v>0.0385300925925926</v>
      </c>
      <c r="J36" s="11" t="n">
        <f aca="false">25/(I36*24)</f>
        <v>27.0351456893962</v>
      </c>
    </row>
    <row r="37" customFormat="false" ht="15.5" hidden="false" customHeight="false" outlineLevel="0" collapsed="false">
      <c r="A37" s="17"/>
      <c r="B37" s="8" t="n">
        <v>71</v>
      </c>
      <c r="C37" s="9" t="s">
        <v>32</v>
      </c>
      <c r="D37" s="8" t="s">
        <v>60</v>
      </c>
      <c r="E37" s="9" t="s">
        <v>54</v>
      </c>
      <c r="F37" s="9"/>
      <c r="G37" s="8"/>
      <c r="H37" s="8"/>
      <c r="I37" s="10" t="n">
        <v>0.0387847222222222</v>
      </c>
      <c r="J37" s="11" t="n">
        <f aca="false">25/(I37*24)</f>
        <v>26.857654431513</v>
      </c>
    </row>
    <row r="38" customFormat="false" ht="15.5" hidden="false" customHeight="false" outlineLevel="0" collapsed="false">
      <c r="A38" s="17"/>
      <c r="B38" s="8" t="n">
        <v>72</v>
      </c>
      <c r="C38" s="9" t="s">
        <v>32</v>
      </c>
      <c r="D38" s="21" t="n">
        <v>0.0891203703703704</v>
      </c>
      <c r="E38" s="9" t="s">
        <v>61</v>
      </c>
      <c r="F38" s="9"/>
      <c r="G38" s="8"/>
      <c r="H38" s="8"/>
      <c r="I38" s="10" t="n">
        <v>0.0426967592592593</v>
      </c>
      <c r="J38" s="11" t="n">
        <f aca="false">25/(I38*24)</f>
        <v>24.3968555164001</v>
      </c>
    </row>
    <row r="39" customFormat="false" ht="15.5" hidden="false" customHeight="false" outlineLevel="0" collapsed="false">
      <c r="A39" s="17"/>
      <c r="B39" s="8" t="n">
        <v>75</v>
      </c>
      <c r="C39" s="9" t="s">
        <v>35</v>
      </c>
      <c r="D39" s="8" t="s">
        <v>62</v>
      </c>
      <c r="E39" s="9" t="s">
        <v>54</v>
      </c>
      <c r="F39" s="9"/>
      <c r="G39" s="8"/>
      <c r="H39" s="8"/>
      <c r="I39" s="10" t="n">
        <v>0.0432407407407407</v>
      </c>
      <c r="J39" s="11" t="n">
        <f aca="false">25/(I39*24)</f>
        <v>24.0899357601713</v>
      </c>
    </row>
    <row r="40" customFormat="false" ht="15.5" hidden="false" customHeight="false" outlineLevel="0" collapsed="false">
      <c r="A40" s="17"/>
      <c r="B40" s="8" t="n">
        <v>76</v>
      </c>
      <c r="C40" s="9" t="s">
        <v>35</v>
      </c>
      <c r="D40" s="8" t="s">
        <v>63</v>
      </c>
      <c r="E40" s="9" t="s">
        <v>54</v>
      </c>
      <c r="F40" s="9"/>
      <c r="G40" s="8"/>
      <c r="H40" s="8"/>
      <c r="I40" s="10" t="n">
        <v>0.0438657407407407</v>
      </c>
      <c r="J40" s="11" t="n">
        <f aca="false">25/(I40*24)</f>
        <v>23.7467018469657</v>
      </c>
    </row>
    <row r="41" customFormat="false" ht="15.5" hidden="false" customHeight="false" outlineLevel="0" collapsed="false">
      <c r="A41" s="17"/>
      <c r="B41" s="8" t="n">
        <v>79</v>
      </c>
      <c r="C41" s="9" t="s">
        <v>35</v>
      </c>
      <c r="D41" s="8" t="s">
        <v>64</v>
      </c>
      <c r="E41" s="9" t="s">
        <v>54</v>
      </c>
      <c r="F41" s="9"/>
      <c r="G41" s="8"/>
      <c r="H41" s="8"/>
      <c r="I41" s="10" t="n">
        <v>0.0445949074074074</v>
      </c>
      <c r="J41" s="11" t="n">
        <f aca="false">25/(I41*24)</f>
        <v>23.3584220088243</v>
      </c>
    </row>
    <row r="42" customFormat="false" ht="15.5" hidden="false" customHeight="false" outlineLevel="0" collapsed="false">
      <c r="A42" s="17"/>
      <c r="B42" s="8" t="n">
        <v>82</v>
      </c>
      <c r="C42" s="9" t="s">
        <v>35</v>
      </c>
      <c r="D42" s="8" t="s">
        <v>65</v>
      </c>
      <c r="E42" s="9" t="s">
        <v>54</v>
      </c>
      <c r="F42" s="9"/>
      <c r="G42" s="8"/>
      <c r="H42" s="8"/>
      <c r="I42" s="10" t="n">
        <v>0.0456712962962963</v>
      </c>
      <c r="J42" s="11" t="n">
        <f aca="false">25/(I42*24)</f>
        <v>22.8079067410035</v>
      </c>
    </row>
    <row r="43" customFormat="false" ht="15.5" hidden="false" customHeight="false" outlineLevel="0" collapsed="false">
      <c r="A43" s="17"/>
      <c r="B43" s="8"/>
      <c r="C43" s="9"/>
      <c r="D43" s="8"/>
      <c r="E43" s="9"/>
      <c r="F43" s="9"/>
      <c r="G43" s="8"/>
      <c r="H43" s="8"/>
      <c r="I43" s="10"/>
      <c r="J43" s="11"/>
    </row>
    <row r="44" customFormat="false" ht="15.5" hidden="false" customHeight="false" outlineLevel="0" collapsed="false">
      <c r="A44" s="17" t="s">
        <v>66</v>
      </c>
      <c r="B44" s="8" t="n">
        <v>58</v>
      </c>
      <c r="C44" s="9" t="s">
        <v>67</v>
      </c>
      <c r="D44" s="8" t="s">
        <v>68</v>
      </c>
      <c r="E44" s="9" t="s">
        <v>69</v>
      </c>
      <c r="F44" s="9" t="s">
        <v>70</v>
      </c>
      <c r="G44" s="8"/>
      <c r="H44" s="8"/>
      <c r="I44" s="10" t="n">
        <v>0.0429050925925926</v>
      </c>
      <c r="J44" s="11" t="n">
        <f aca="false">30/(I44*24)</f>
        <v>29.1340706770974</v>
      </c>
    </row>
    <row r="45" customFormat="false" ht="15.5" hidden="false" customHeight="false" outlineLevel="0" collapsed="false">
      <c r="A45" s="17"/>
      <c r="B45" s="8" t="n">
        <v>63</v>
      </c>
      <c r="C45" s="9" t="s">
        <v>25</v>
      </c>
      <c r="D45" s="8" t="s">
        <v>71</v>
      </c>
      <c r="E45" s="9" t="s">
        <v>72</v>
      </c>
      <c r="F45" s="9"/>
      <c r="G45" s="8" t="s">
        <v>27</v>
      </c>
      <c r="H45" s="8" t="s">
        <v>21</v>
      </c>
      <c r="I45" s="10" t="n">
        <v>0.0432986111111111</v>
      </c>
      <c r="J45" s="11" t="n">
        <f aca="false">30/(I45*24)</f>
        <v>28.869286287089</v>
      </c>
    </row>
    <row r="46" customFormat="false" ht="15.5" hidden="false" customHeight="false" outlineLevel="0" collapsed="false">
      <c r="A46" s="17"/>
      <c r="B46" s="8" t="n">
        <v>66</v>
      </c>
      <c r="C46" s="9" t="s">
        <v>25</v>
      </c>
      <c r="D46" s="21" t="n">
        <v>0.923125</v>
      </c>
      <c r="E46" s="9" t="s">
        <v>69</v>
      </c>
      <c r="F46" s="9"/>
      <c r="G46" s="8" t="s">
        <v>31</v>
      </c>
      <c r="H46" s="8" t="s">
        <v>21</v>
      </c>
      <c r="I46" s="10" t="n">
        <v>0.0437384259259259</v>
      </c>
      <c r="J46" s="11" t="n">
        <f aca="false">30/(I46*24)</f>
        <v>28.578989150569</v>
      </c>
    </row>
    <row r="47" customFormat="false" ht="15.5" hidden="false" customHeight="false" outlineLevel="0" collapsed="false">
      <c r="A47" s="17"/>
      <c r="B47" s="8" t="n">
        <v>70</v>
      </c>
      <c r="C47" s="9" t="s">
        <v>32</v>
      </c>
      <c r="D47" s="21" t="n">
        <v>0.923125</v>
      </c>
      <c r="E47" s="9" t="s">
        <v>69</v>
      </c>
      <c r="F47" s="9"/>
      <c r="G47" s="8" t="s">
        <v>31</v>
      </c>
      <c r="H47" s="8" t="s">
        <v>21</v>
      </c>
      <c r="I47" s="10" t="n">
        <v>0.0444675925925926</v>
      </c>
      <c r="J47" s="11" t="n">
        <f aca="false">30/(I47*24)</f>
        <v>28.1103591879229</v>
      </c>
    </row>
    <row r="48" customFormat="false" ht="15.5" hidden="false" customHeight="false" outlineLevel="0" collapsed="false">
      <c r="A48" s="17"/>
      <c r="B48" s="8" t="n">
        <v>71</v>
      </c>
      <c r="C48" s="9" t="s">
        <v>32</v>
      </c>
      <c r="D48" s="8" t="s">
        <v>73</v>
      </c>
      <c r="E48" s="9" t="s">
        <v>74</v>
      </c>
      <c r="F48" s="9"/>
      <c r="G48" s="8"/>
      <c r="H48" s="8"/>
      <c r="I48" s="10" t="n">
        <v>0.0485648148148148</v>
      </c>
      <c r="J48" s="11" t="n">
        <f aca="false">30/(I48*24)</f>
        <v>25.7387988560534</v>
      </c>
    </row>
    <row r="49" customFormat="false" ht="15.5" hidden="false" customHeight="false" outlineLevel="0" collapsed="false">
      <c r="A49" s="17"/>
      <c r="B49" s="8" t="n">
        <v>72</v>
      </c>
      <c r="C49" s="9" t="s">
        <v>35</v>
      </c>
      <c r="D49" s="8" t="s">
        <v>75</v>
      </c>
      <c r="E49" s="9" t="s">
        <v>76</v>
      </c>
      <c r="F49" s="9"/>
      <c r="G49" s="8"/>
      <c r="H49" s="8"/>
      <c r="I49" s="10" t="n">
        <v>0.0546643518518518</v>
      </c>
      <c r="J49" s="11" t="n">
        <f aca="false">30/(I49*24)</f>
        <v>22.8668219352107</v>
      </c>
    </row>
    <row r="50" customFormat="false" ht="15.5" hidden="false" customHeight="false" outlineLevel="0" collapsed="false">
      <c r="A50" s="17"/>
      <c r="B50" s="8" t="n">
        <v>74</v>
      </c>
      <c r="C50" s="9" t="s">
        <v>35</v>
      </c>
      <c r="D50" s="8" t="s">
        <v>77</v>
      </c>
      <c r="E50" s="9" t="s">
        <v>72</v>
      </c>
      <c r="F50" s="9"/>
      <c r="G50" s="8"/>
      <c r="H50" s="8"/>
      <c r="I50" s="10" t="n">
        <v>0.0551967592592593</v>
      </c>
      <c r="J50" s="11" t="n">
        <f aca="false">30/(I50*24)</f>
        <v>22.6462570769553</v>
      </c>
    </row>
    <row r="51" customFormat="false" ht="15.5" hidden="false" customHeight="false" outlineLevel="0" collapsed="false">
      <c r="A51" s="17"/>
      <c r="B51" s="8" t="n">
        <v>76</v>
      </c>
      <c r="C51" s="9" t="s">
        <v>35</v>
      </c>
      <c r="D51" s="8" t="s">
        <v>78</v>
      </c>
      <c r="E51" s="9" t="s">
        <v>72</v>
      </c>
      <c r="F51" s="9"/>
      <c r="G51" s="8"/>
      <c r="H51" s="8"/>
      <c r="I51" s="10" t="n">
        <v>0.0553935185185185</v>
      </c>
      <c r="J51" s="11" t="n">
        <f aca="false">30/(I51*24)</f>
        <v>22.5658169661513</v>
      </c>
    </row>
    <row r="52" customFormat="false" ht="15.5" hidden="false" customHeight="false" outlineLevel="0" collapsed="false">
      <c r="A52" s="17"/>
      <c r="B52" s="8" t="n">
        <v>77</v>
      </c>
      <c r="C52" s="9" t="s">
        <v>35</v>
      </c>
      <c r="D52" s="8" t="s">
        <v>79</v>
      </c>
      <c r="E52" s="9" t="s">
        <v>72</v>
      </c>
      <c r="F52" s="9"/>
      <c r="G52" s="8"/>
      <c r="H52" s="8"/>
      <c r="I52" s="10" t="n">
        <v>0.056875</v>
      </c>
      <c r="J52" s="11" t="n">
        <f aca="false">30/(I52*24)</f>
        <v>21.978021978022</v>
      </c>
    </row>
    <row r="53" customFormat="false" ht="15.5" hidden="false" customHeight="false" outlineLevel="0" collapsed="false">
      <c r="A53" s="17"/>
      <c r="B53" s="8" t="n">
        <v>83</v>
      </c>
      <c r="C53" s="9" t="s">
        <v>35</v>
      </c>
      <c r="D53" s="8" t="s">
        <v>80</v>
      </c>
      <c r="E53" s="9" t="s">
        <v>72</v>
      </c>
      <c r="F53" s="9"/>
      <c r="G53" s="8"/>
      <c r="H53" s="8"/>
      <c r="I53" s="10" t="n">
        <v>0.0569097222222222</v>
      </c>
      <c r="J53" s="11" t="n">
        <f aca="false">30/(I53*24)</f>
        <v>21.9646125686394</v>
      </c>
    </row>
    <row r="54" customFormat="false" ht="15.5" hidden="false" customHeight="false" outlineLevel="0" collapsed="false">
      <c r="A54" s="17"/>
      <c r="B54" s="8"/>
      <c r="C54" s="9"/>
      <c r="D54" s="8"/>
      <c r="E54" s="9"/>
      <c r="F54" s="9"/>
      <c r="G54" s="8"/>
      <c r="H54" s="8"/>
      <c r="I54" s="10"/>
      <c r="J54" s="11"/>
    </row>
    <row r="55" customFormat="false" ht="15.5" hidden="false" customHeight="false" outlineLevel="0" collapsed="false">
      <c r="A55" s="17" t="s">
        <v>81</v>
      </c>
      <c r="B55" s="8" t="n">
        <v>56</v>
      </c>
      <c r="C55" s="9" t="s">
        <v>25</v>
      </c>
      <c r="D55" s="8" t="s">
        <v>82</v>
      </c>
      <c r="E55" s="9" t="s">
        <v>83</v>
      </c>
      <c r="F55" s="9"/>
      <c r="G55" s="8"/>
      <c r="H55" s="8"/>
      <c r="I55" s="10" t="n">
        <v>0.07125</v>
      </c>
      <c r="J55" s="11" t="n">
        <f aca="false">50/(I55*24)</f>
        <v>29.2397660818713</v>
      </c>
    </row>
    <row r="56" customFormat="false" ht="15.5" hidden="false" customHeight="false" outlineLevel="0" collapsed="false">
      <c r="A56" s="17"/>
      <c r="B56" s="8" t="n">
        <v>65</v>
      </c>
      <c r="C56" s="9" t="s">
        <v>28</v>
      </c>
      <c r="D56" s="8" t="s">
        <v>84</v>
      </c>
      <c r="E56" s="9" t="s">
        <v>83</v>
      </c>
      <c r="F56" s="9"/>
      <c r="G56" s="8" t="s">
        <v>31</v>
      </c>
      <c r="H56" s="8" t="s">
        <v>21</v>
      </c>
      <c r="I56" s="10" t="n">
        <v>0.0719328703703704</v>
      </c>
      <c r="J56" s="11" t="n">
        <f aca="false">50/(I56*24)</f>
        <v>28.9621882542236</v>
      </c>
    </row>
    <row r="57" customFormat="false" ht="15.5" hidden="false" customHeight="false" outlineLevel="0" collapsed="false">
      <c r="A57" s="17"/>
      <c r="B57" s="8" t="n">
        <v>67</v>
      </c>
      <c r="C57" s="9" t="s">
        <v>28</v>
      </c>
      <c r="D57" s="8" t="s">
        <v>85</v>
      </c>
      <c r="E57" s="9" t="s">
        <v>83</v>
      </c>
      <c r="F57" s="9"/>
      <c r="G57" s="8" t="s">
        <v>31</v>
      </c>
      <c r="H57" s="8" t="s">
        <v>21</v>
      </c>
      <c r="I57" s="10" t="n">
        <v>0.0735648148148148</v>
      </c>
      <c r="J57" s="11" t="n">
        <f aca="false">50/(I57*24)</f>
        <v>28.3196979232221</v>
      </c>
    </row>
    <row r="58" customFormat="false" ht="15.5" hidden="false" customHeight="false" outlineLevel="0" collapsed="false">
      <c r="A58" s="17"/>
      <c r="B58" s="8" t="n">
        <v>70</v>
      </c>
      <c r="C58" s="9" t="s">
        <v>32</v>
      </c>
      <c r="D58" s="8" t="s">
        <v>84</v>
      </c>
      <c r="E58" s="9" t="s">
        <v>83</v>
      </c>
      <c r="F58" s="9"/>
      <c r="G58" s="8"/>
      <c r="H58" s="8" t="s">
        <v>21</v>
      </c>
      <c r="I58" s="10" t="n">
        <v>0.0805787037037037</v>
      </c>
      <c r="J58" s="11" t="n">
        <f aca="false">50/(I58*24)</f>
        <v>25.8546394714163</v>
      </c>
    </row>
    <row r="59" customFormat="false" ht="15.5" hidden="false" customHeight="false" outlineLevel="0" collapsed="false">
      <c r="A59" s="17"/>
      <c r="B59" s="8" t="n">
        <v>71</v>
      </c>
      <c r="C59" s="9" t="s">
        <v>32</v>
      </c>
      <c r="D59" s="8" t="s">
        <v>86</v>
      </c>
      <c r="E59" s="9" t="s">
        <v>83</v>
      </c>
      <c r="F59" s="9"/>
      <c r="G59" s="8"/>
      <c r="H59" s="8" t="s">
        <v>21</v>
      </c>
      <c r="I59" s="10" t="n">
        <v>0.0840162037037037</v>
      </c>
      <c r="J59" s="11" t="n">
        <f aca="false">50/(I59*24)</f>
        <v>24.7968039674886</v>
      </c>
    </row>
    <row r="60" customFormat="false" ht="15.5" hidden="false" customHeight="false" outlineLevel="0" collapsed="false">
      <c r="A60" s="17"/>
      <c r="B60" s="8" t="n">
        <v>77</v>
      </c>
      <c r="C60" s="9" t="s">
        <v>35</v>
      </c>
      <c r="D60" s="8" t="s">
        <v>87</v>
      </c>
      <c r="E60" s="9" t="s">
        <v>88</v>
      </c>
      <c r="F60" s="9"/>
      <c r="G60" s="8"/>
      <c r="H60" s="8"/>
      <c r="I60" s="10" t="n">
        <v>0.0928819444444444</v>
      </c>
      <c r="J60" s="11" t="n">
        <f aca="false">50/(I60*24)</f>
        <v>22.4299065420561</v>
      </c>
    </row>
    <row r="61" customFormat="false" ht="15.5" hidden="false" customHeight="false" outlineLevel="0" collapsed="false">
      <c r="A61" s="17"/>
      <c r="B61" s="8"/>
      <c r="C61" s="9"/>
      <c r="D61" s="8"/>
      <c r="E61" s="9"/>
      <c r="F61" s="9"/>
      <c r="G61" s="8"/>
      <c r="H61" s="8"/>
      <c r="I61" s="10"/>
      <c r="J61" s="11"/>
    </row>
    <row r="62" customFormat="false" ht="15.5" hidden="false" customHeight="false" outlineLevel="0" collapsed="false">
      <c r="A62" s="17" t="s">
        <v>89</v>
      </c>
      <c r="B62" s="8" t="n">
        <v>59</v>
      </c>
      <c r="C62" s="9" t="s">
        <v>25</v>
      </c>
      <c r="D62" s="8" t="s">
        <v>90</v>
      </c>
      <c r="E62" s="9" t="s">
        <v>91</v>
      </c>
      <c r="F62" s="9" t="s">
        <v>70</v>
      </c>
      <c r="G62" s="8"/>
      <c r="H62" s="8" t="s">
        <v>21</v>
      </c>
      <c r="I62" s="10" t="n">
        <v>0.1559375</v>
      </c>
      <c r="J62" s="11" t="n">
        <f aca="false">100/(I62*24)</f>
        <v>26.7201068804275</v>
      </c>
    </row>
    <row r="63" customFormat="false" ht="15.5" hidden="false" customHeight="false" outlineLevel="0" collapsed="false">
      <c r="A63" s="17"/>
      <c r="B63" s="8" t="n">
        <v>65</v>
      </c>
      <c r="C63" s="9" t="s">
        <v>28</v>
      </c>
      <c r="D63" s="8" t="s">
        <v>34</v>
      </c>
      <c r="E63" s="9" t="s">
        <v>92</v>
      </c>
      <c r="F63" s="9"/>
      <c r="G63" s="8"/>
      <c r="H63" s="8" t="s">
        <v>21</v>
      </c>
      <c r="I63" s="10" t="n">
        <v>0.157719907407407</v>
      </c>
      <c r="J63" s="11" t="n">
        <f aca="false">100/(I63*24)</f>
        <v>26.4181404564468</v>
      </c>
    </row>
    <row r="64" customFormat="false" ht="15.5" hidden="false" customHeight="false" outlineLevel="0" collapsed="false">
      <c r="A64" s="17"/>
      <c r="B64" s="8" t="n">
        <v>66</v>
      </c>
      <c r="C64" s="9" t="s">
        <v>28</v>
      </c>
      <c r="D64" s="8" t="s">
        <v>19</v>
      </c>
      <c r="E64" s="9" t="s">
        <v>92</v>
      </c>
      <c r="F64" s="9"/>
      <c r="G64" s="8" t="s">
        <v>31</v>
      </c>
      <c r="H64" s="8" t="s">
        <v>21</v>
      </c>
      <c r="I64" s="10" t="n">
        <v>0.1590625</v>
      </c>
      <c r="J64" s="11" t="n">
        <f aca="false">100/(I64*24)</f>
        <v>26.1951538965291</v>
      </c>
    </row>
    <row r="65" customFormat="false" ht="15.5" hidden="false" customHeight="false" outlineLevel="0" collapsed="false">
      <c r="A65" s="17"/>
      <c r="B65" s="8" t="n">
        <v>67</v>
      </c>
      <c r="C65" s="9" t="s">
        <v>35</v>
      </c>
      <c r="D65" s="8" t="s">
        <v>93</v>
      </c>
      <c r="E65" s="9" t="s">
        <v>94</v>
      </c>
      <c r="F65" s="9"/>
      <c r="G65" s="8"/>
      <c r="H65" s="8"/>
      <c r="I65" s="10" t="n">
        <v>0.20568287037037</v>
      </c>
      <c r="J65" s="11" t="n">
        <f aca="false">100/(I65*24)</f>
        <v>20.2577232569918</v>
      </c>
    </row>
    <row r="66" customFormat="false" ht="15.5" hidden="false" customHeight="false" outlineLevel="0" collapsed="false">
      <c r="A66" s="17"/>
      <c r="B66" s="8" t="n">
        <v>69</v>
      </c>
      <c r="C66" s="9" t="s">
        <v>35</v>
      </c>
      <c r="D66" s="8" t="s">
        <v>95</v>
      </c>
      <c r="E66" s="9" t="s">
        <v>96</v>
      </c>
      <c r="F66" s="9"/>
      <c r="G66" s="8"/>
      <c r="H66" s="8"/>
      <c r="I66" s="10" t="n">
        <v>0.214143518518518</v>
      </c>
      <c r="J66" s="11" t="n">
        <f aca="false">100/(I66*24)</f>
        <v>19.4573559615177</v>
      </c>
    </row>
    <row r="67" customFormat="false" ht="15.5" hidden="false" customHeight="false" outlineLevel="0" collapsed="false">
      <c r="A67" s="17"/>
      <c r="B67" s="8"/>
      <c r="C67" s="9"/>
      <c r="D67" s="8"/>
      <c r="E67" s="9"/>
      <c r="F67" s="9"/>
      <c r="G67" s="8"/>
      <c r="H67" s="8"/>
      <c r="I67" s="10"/>
      <c r="J67" s="11"/>
    </row>
    <row r="68" customFormat="false" ht="15.5" hidden="false" customHeight="false" outlineLevel="0" collapsed="false">
      <c r="A68" s="17" t="s">
        <v>97</v>
      </c>
      <c r="B68" s="8" t="n">
        <v>55</v>
      </c>
      <c r="C68" s="9" t="s">
        <v>25</v>
      </c>
      <c r="D68" s="8" t="s">
        <v>98</v>
      </c>
      <c r="E68" s="9" t="s">
        <v>99</v>
      </c>
      <c r="F68" s="9" t="s">
        <v>70</v>
      </c>
      <c r="G68" s="8"/>
      <c r="H68" s="8" t="s">
        <v>21</v>
      </c>
      <c r="I68" s="22" t="s">
        <v>100</v>
      </c>
      <c r="J68" s="11" t="n">
        <v>23.6</v>
      </c>
    </row>
    <row r="69" customFormat="false" ht="15.5" hidden="false" customHeight="false" outlineLevel="0" collapsed="false">
      <c r="A69" s="17"/>
      <c r="B69" s="8" t="n">
        <v>58</v>
      </c>
      <c r="C69" s="9" t="s">
        <v>25</v>
      </c>
      <c r="D69" s="8" t="s">
        <v>101</v>
      </c>
      <c r="E69" s="9" t="s">
        <v>99</v>
      </c>
      <c r="F69" s="9"/>
      <c r="G69" s="8" t="s">
        <v>31</v>
      </c>
      <c r="H69" s="8" t="s">
        <v>21</v>
      </c>
      <c r="I69" s="22" t="s">
        <v>102</v>
      </c>
      <c r="J69" s="11" t="n">
        <v>23.4</v>
      </c>
    </row>
    <row r="70" customFormat="false" ht="15.5" hidden="false" customHeight="false" outlineLevel="0" collapsed="false">
      <c r="A70" s="17"/>
      <c r="B70" s="8" t="n">
        <v>61</v>
      </c>
      <c r="C70" s="9" t="s">
        <v>25</v>
      </c>
      <c r="D70" s="8" t="s">
        <v>103</v>
      </c>
      <c r="E70" s="9" t="s">
        <v>99</v>
      </c>
      <c r="F70" s="9"/>
      <c r="G70" s="8" t="s">
        <v>31</v>
      </c>
      <c r="H70" s="8" t="s">
        <v>21</v>
      </c>
      <c r="I70" s="22" t="s">
        <v>104</v>
      </c>
      <c r="J70" s="11" t="n">
        <v>22.9</v>
      </c>
    </row>
    <row r="71" customFormat="false" ht="15.5" hidden="false" customHeight="false" outlineLevel="0" collapsed="false">
      <c r="A71" s="17"/>
      <c r="B71" s="8" t="n">
        <v>66</v>
      </c>
      <c r="C71" s="9" t="s">
        <v>105</v>
      </c>
      <c r="D71" s="8" t="s">
        <v>106</v>
      </c>
      <c r="E71" s="9" t="s">
        <v>107</v>
      </c>
      <c r="F71" s="9"/>
      <c r="G71" s="8"/>
      <c r="H71" s="8" t="s">
        <v>21</v>
      </c>
      <c r="I71" s="22" t="s">
        <v>108</v>
      </c>
      <c r="J71" s="11" t="n">
        <v>18.9</v>
      </c>
    </row>
    <row r="72" customFormat="false" ht="15.5" hidden="false" customHeight="false" outlineLevel="0" collapsed="false">
      <c r="A72" s="17"/>
      <c r="B72" s="8"/>
      <c r="C72" s="9"/>
      <c r="D72" s="8"/>
      <c r="E72" s="9"/>
      <c r="F72" s="9"/>
      <c r="G72" s="8"/>
      <c r="H72" s="8"/>
      <c r="I72" s="22"/>
      <c r="J72" s="11"/>
    </row>
    <row r="73" customFormat="false" ht="15.5" hidden="false" customHeight="false" outlineLevel="0" collapsed="false">
      <c r="A73" s="17" t="s">
        <v>109</v>
      </c>
      <c r="B73" s="8" t="n">
        <v>44</v>
      </c>
      <c r="C73" s="9" t="s">
        <v>110</v>
      </c>
      <c r="D73" s="8" t="s">
        <v>111</v>
      </c>
      <c r="E73" s="9" t="s">
        <v>112</v>
      </c>
      <c r="F73" s="9"/>
      <c r="G73" s="8"/>
      <c r="H73" s="8"/>
      <c r="I73" s="22" t="s">
        <v>113</v>
      </c>
      <c r="J73" s="11" t="n">
        <v>16.6</v>
      </c>
    </row>
    <row r="74" customFormat="false" ht="15.5" hidden="false" customHeight="false" outlineLevel="0" collapsed="false">
      <c r="A74" s="17"/>
      <c r="B74" s="8" t="n">
        <v>46</v>
      </c>
      <c r="C74" s="9" t="s">
        <v>110</v>
      </c>
      <c r="D74" s="8" t="s">
        <v>114</v>
      </c>
      <c r="E74" s="9" t="s">
        <v>115</v>
      </c>
      <c r="F74" s="9"/>
      <c r="G74" s="8"/>
      <c r="H74" s="8"/>
      <c r="I74" s="22" t="s">
        <v>116</v>
      </c>
      <c r="J74" s="11" t="n">
        <v>16.1</v>
      </c>
    </row>
    <row r="75" customFormat="false" ht="15.5" hidden="false" customHeight="false" outlineLevel="0" collapsed="false">
      <c r="A75" s="17"/>
      <c r="B75" s="8" t="n">
        <v>61</v>
      </c>
      <c r="C75" s="9" t="s">
        <v>35</v>
      </c>
      <c r="D75" s="8" t="s">
        <v>117</v>
      </c>
      <c r="E75" s="9" t="s">
        <v>118</v>
      </c>
      <c r="F75" s="9"/>
      <c r="G75" s="8"/>
      <c r="H75" s="8"/>
      <c r="I75" s="22" t="s">
        <v>119</v>
      </c>
      <c r="J75" s="11" t="n">
        <v>15</v>
      </c>
    </row>
    <row r="76" customFormat="false" ht="15" hidden="false" customHeight="true" outlineLevel="0" collapsed="false">
      <c r="A76" s="17"/>
      <c r="B76" s="8"/>
      <c r="C76" s="9"/>
      <c r="D76" s="8"/>
      <c r="E76" s="9"/>
      <c r="F76" s="9"/>
      <c r="G76" s="8"/>
      <c r="H76" s="8"/>
      <c r="I76" s="22"/>
      <c r="J76" s="11"/>
    </row>
    <row r="77" customFormat="false" ht="22.75" hidden="false" customHeight="true" outlineLevel="0" collapsed="false">
      <c r="A77" s="17" t="s">
        <v>120</v>
      </c>
      <c r="B77" s="8"/>
      <c r="C77" s="9"/>
      <c r="D77" s="8"/>
      <c r="E77" s="9"/>
      <c r="F77" s="9"/>
      <c r="G77" s="8"/>
      <c r="H77" s="8"/>
      <c r="I77" s="10"/>
      <c r="J77" s="11"/>
    </row>
    <row r="78" customFormat="false" ht="15.5" hidden="false" customHeight="false" outlineLevel="0" collapsed="false">
      <c r="A78" s="17"/>
      <c r="B78" s="8"/>
      <c r="C78" s="9"/>
      <c r="D78" s="8"/>
      <c r="E78" s="9"/>
      <c r="F78" s="9"/>
      <c r="G78" s="8"/>
      <c r="H78" s="8"/>
      <c r="I78" s="10"/>
      <c r="J78" s="11"/>
    </row>
    <row r="79" customFormat="false" ht="15.5" hidden="false" customHeight="false" outlineLevel="0" collapsed="false">
      <c r="A79" s="17" t="s">
        <v>14</v>
      </c>
      <c r="B79" s="8" t="n">
        <v>53</v>
      </c>
      <c r="C79" s="9" t="s">
        <v>121</v>
      </c>
      <c r="D79" s="8" t="s">
        <v>122</v>
      </c>
      <c r="E79" s="9" t="s">
        <v>123</v>
      </c>
      <c r="F79" s="9"/>
      <c r="G79" s="8"/>
      <c r="H79" s="8"/>
      <c r="I79" s="10" t="n">
        <v>0.0163310185185185</v>
      </c>
      <c r="J79" s="11" t="n">
        <f aca="false">10/(I79*24)</f>
        <v>25.5138199858257</v>
      </c>
    </row>
    <row r="80" customFormat="false" ht="15.5" hidden="false" customHeight="false" outlineLevel="0" collapsed="false">
      <c r="A80" s="17"/>
      <c r="B80" s="8"/>
      <c r="C80" s="9"/>
      <c r="D80" s="8"/>
      <c r="E80" s="9"/>
      <c r="F80" s="9"/>
      <c r="G80" s="8"/>
      <c r="H80" s="8"/>
      <c r="I80" s="10"/>
      <c r="J80" s="11"/>
    </row>
    <row r="81" customFormat="false" ht="15.5" hidden="false" customHeight="false" outlineLevel="0" collapsed="false">
      <c r="A81" s="17" t="s">
        <v>52</v>
      </c>
      <c r="B81" s="8" t="n">
        <v>52</v>
      </c>
      <c r="C81" s="9" t="s">
        <v>121</v>
      </c>
      <c r="D81" s="8" t="s">
        <v>43</v>
      </c>
      <c r="E81" s="9" t="s">
        <v>54</v>
      </c>
      <c r="F81" s="9"/>
      <c r="G81" s="8"/>
      <c r="H81" s="8"/>
      <c r="I81" s="10" t="n">
        <v>0.043125</v>
      </c>
      <c r="J81" s="11" t="n">
        <f aca="false">25/(I81*24)</f>
        <v>24.1545893719807</v>
      </c>
    </row>
    <row r="82" customFormat="false" ht="15.5" hidden="false" customHeight="false" outlineLevel="0" collapsed="false">
      <c r="A82" s="17"/>
      <c r="B82" s="8"/>
      <c r="C82" s="9"/>
      <c r="D82" s="8"/>
      <c r="E82" s="9"/>
      <c r="F82" s="9"/>
      <c r="G82" s="8"/>
      <c r="H82" s="8"/>
      <c r="I82" s="10"/>
      <c r="J82" s="11"/>
    </row>
    <row r="83" customFormat="false" ht="22.75" hidden="false" customHeight="true" outlineLevel="0" collapsed="false">
      <c r="A83" s="17" t="s">
        <v>124</v>
      </c>
      <c r="B83" s="8"/>
      <c r="C83" s="9"/>
      <c r="D83" s="8"/>
      <c r="E83" s="9"/>
      <c r="F83" s="9"/>
      <c r="G83" s="8"/>
      <c r="H83" s="8"/>
      <c r="I83" s="10"/>
      <c r="J83" s="11"/>
    </row>
    <row r="84" customFormat="false" ht="15.5" hidden="false" customHeight="false" outlineLevel="0" collapsed="false">
      <c r="A84" s="17"/>
      <c r="B84" s="8"/>
      <c r="C84" s="9"/>
      <c r="D84" s="8"/>
      <c r="E84" s="9"/>
      <c r="F84" s="9"/>
      <c r="G84" s="8"/>
      <c r="H84" s="8"/>
      <c r="I84" s="10"/>
      <c r="J84" s="11"/>
    </row>
    <row r="85" customFormat="false" ht="15.5" hidden="false" customHeight="false" outlineLevel="0" collapsed="false">
      <c r="A85" s="17" t="s">
        <v>14</v>
      </c>
      <c r="B85" s="8" t="n">
        <v>53</v>
      </c>
      <c r="C85" s="9" t="s">
        <v>125</v>
      </c>
      <c r="D85" s="8" t="s">
        <v>126</v>
      </c>
      <c r="E85" s="9" t="s">
        <v>127</v>
      </c>
      <c r="F85" s="9" t="s">
        <v>70</v>
      </c>
      <c r="G85" s="8"/>
      <c r="H85" s="8"/>
      <c r="I85" s="10" t="n">
        <v>0.0172916666666667</v>
      </c>
      <c r="J85" s="11" t="n">
        <v>24.1</v>
      </c>
    </row>
    <row r="86" customFormat="false" ht="15.5" hidden="false" customHeight="false" outlineLevel="0" collapsed="false">
      <c r="A86" s="17"/>
      <c r="B86" s="8" t="n">
        <v>60</v>
      </c>
      <c r="C86" s="9" t="s">
        <v>128</v>
      </c>
      <c r="D86" s="8" t="s">
        <v>129</v>
      </c>
      <c r="E86" s="9" t="s">
        <v>130</v>
      </c>
      <c r="F86" s="9"/>
      <c r="G86" s="8"/>
      <c r="H86" s="8"/>
      <c r="I86" s="10" t="n">
        <v>0.0179861111111111</v>
      </c>
      <c r="J86" s="11" t="n">
        <v>23.2</v>
      </c>
    </row>
    <row r="87" customFormat="false" ht="15.5" hidden="false" customHeight="false" outlineLevel="0" collapsed="false">
      <c r="A87" s="17"/>
      <c r="B87" s="8" t="n">
        <v>76</v>
      </c>
      <c r="C87" s="9" t="s">
        <v>128</v>
      </c>
      <c r="D87" s="8" t="s">
        <v>131</v>
      </c>
      <c r="E87" s="9"/>
      <c r="F87" s="9"/>
      <c r="G87" s="8"/>
      <c r="H87" s="8"/>
      <c r="I87" s="10" t="n">
        <v>0.0197106481481482</v>
      </c>
      <c r="J87" s="11" t="n">
        <v>21.1</v>
      </c>
    </row>
    <row r="88" customFormat="false" ht="15.5" hidden="false" customHeight="false" outlineLevel="0" collapsed="false">
      <c r="A88" s="17"/>
      <c r="B88" s="8" t="n">
        <v>80</v>
      </c>
      <c r="C88" s="9" t="s">
        <v>132</v>
      </c>
      <c r="D88" s="8" t="s">
        <v>133</v>
      </c>
      <c r="E88" s="9" t="s">
        <v>17</v>
      </c>
      <c r="F88" s="9"/>
      <c r="G88" s="8"/>
      <c r="H88" s="8"/>
      <c r="I88" s="10" t="n">
        <v>0.0174884259259259</v>
      </c>
      <c r="J88" s="11" t="n">
        <v>17</v>
      </c>
    </row>
    <row r="89" customFormat="false" ht="15.5" hidden="false" customHeight="false" outlineLevel="0" collapsed="false">
      <c r="A89" s="17"/>
      <c r="B89" s="8" t="n">
        <v>81</v>
      </c>
      <c r="C89" s="9" t="s">
        <v>132</v>
      </c>
      <c r="D89" s="8" t="s">
        <v>134</v>
      </c>
      <c r="E89" s="9" t="s">
        <v>17</v>
      </c>
      <c r="F89" s="9"/>
      <c r="G89" s="8"/>
      <c r="H89" s="8"/>
      <c r="I89" s="10" t="n">
        <v>0.0251851851851852</v>
      </c>
      <c r="J89" s="11" t="n">
        <v>16.5</v>
      </c>
    </row>
    <row r="90" customFormat="false" ht="15.5" hidden="false" customHeight="false" outlineLevel="0" collapsed="false">
      <c r="A90" s="17"/>
      <c r="B90" s="8" t="n">
        <v>85</v>
      </c>
      <c r="C90" s="9" t="s">
        <v>132</v>
      </c>
      <c r="D90" s="8" t="n">
        <v>2006</v>
      </c>
      <c r="E90" s="9"/>
      <c r="F90" s="9"/>
      <c r="G90" s="8"/>
      <c r="H90" s="8"/>
      <c r="I90" s="10" t="n">
        <v>0.0277777777777778</v>
      </c>
      <c r="J90" s="11" t="n">
        <v>15</v>
      </c>
    </row>
    <row r="91" customFormat="false" ht="15.5" hidden="false" customHeight="false" outlineLevel="0" collapsed="false">
      <c r="A91" s="17"/>
      <c r="B91" s="8"/>
      <c r="C91" s="9"/>
      <c r="D91" s="8"/>
      <c r="E91" s="9"/>
      <c r="F91" s="9"/>
      <c r="G91" s="8"/>
      <c r="H91" s="8"/>
      <c r="I91" s="10"/>
      <c r="J91" s="11"/>
    </row>
    <row r="92" customFormat="false" ht="15.5" hidden="false" customHeight="false" outlineLevel="0" collapsed="false">
      <c r="A92" s="17" t="s">
        <v>52</v>
      </c>
      <c r="B92" s="8" t="n">
        <v>61</v>
      </c>
      <c r="C92" s="9" t="s">
        <v>128</v>
      </c>
      <c r="D92" s="8" t="s">
        <v>135</v>
      </c>
      <c r="E92" s="9" t="s">
        <v>136</v>
      </c>
      <c r="F92" s="9" t="s">
        <v>70</v>
      </c>
      <c r="G92" s="8"/>
      <c r="H92" s="8"/>
      <c r="I92" s="10" t="n">
        <v>0.0454282407407407</v>
      </c>
      <c r="J92" s="11" t="n">
        <v>22.9</v>
      </c>
    </row>
    <row r="93" customFormat="false" ht="15.5" hidden="false" customHeight="false" outlineLevel="0" collapsed="false">
      <c r="A93" s="17"/>
      <c r="B93" s="8" t="n">
        <v>76</v>
      </c>
      <c r="C93" s="9" t="s">
        <v>128</v>
      </c>
      <c r="D93" s="21" t="n">
        <v>0.462627314814815</v>
      </c>
      <c r="E93" s="9" t="s">
        <v>54</v>
      </c>
      <c r="F93" s="9"/>
      <c r="G93" s="8"/>
      <c r="H93" s="8"/>
      <c r="I93" s="10" t="n">
        <v>0.0463657407407407</v>
      </c>
      <c r="J93" s="11" t="n">
        <v>22.5</v>
      </c>
    </row>
    <row r="94" customFormat="false" ht="15.5" hidden="false" customHeight="false" outlineLevel="0" collapsed="false">
      <c r="A94" s="17"/>
      <c r="B94" s="8" t="n">
        <v>81</v>
      </c>
      <c r="C94" s="9" t="s">
        <v>132</v>
      </c>
      <c r="D94" s="21" t="n">
        <v>0.0479398148148148</v>
      </c>
      <c r="E94" s="9" t="s">
        <v>137</v>
      </c>
      <c r="F94" s="9"/>
      <c r="G94" s="8"/>
      <c r="H94" s="8"/>
      <c r="I94" s="10" t="n">
        <v>0.0646527777777778</v>
      </c>
      <c r="J94" s="11" t="n">
        <v>16.1</v>
      </c>
    </row>
    <row r="95" customFormat="false" ht="15.5" hidden="false" customHeight="false" outlineLevel="0" collapsed="false">
      <c r="A95" s="17"/>
      <c r="B95" s="8" t="n">
        <v>82</v>
      </c>
      <c r="C95" s="9" t="s">
        <v>132</v>
      </c>
      <c r="D95" s="8" t="s">
        <v>138</v>
      </c>
      <c r="E95" s="9" t="s">
        <v>61</v>
      </c>
      <c r="F95" s="9"/>
      <c r="G95" s="8"/>
      <c r="H95" s="8"/>
      <c r="I95" s="10" t="n">
        <v>0.0683449074074074</v>
      </c>
      <c r="J95" s="11" t="n">
        <v>15.2</v>
      </c>
    </row>
    <row r="96" customFormat="false" ht="15.5" hidden="false" customHeight="false" outlineLevel="0" collapsed="false">
      <c r="A96" s="17"/>
      <c r="B96" s="8" t="n">
        <v>83</v>
      </c>
      <c r="C96" s="9" t="s">
        <v>132</v>
      </c>
      <c r="D96" s="8" t="s">
        <v>139</v>
      </c>
      <c r="E96" s="9" t="s">
        <v>140</v>
      </c>
      <c r="F96" s="9"/>
      <c r="G96" s="8"/>
      <c r="H96" s="8"/>
      <c r="I96" s="10" t="n">
        <v>0.0686689814814815</v>
      </c>
      <c r="J96" s="11" t="n">
        <v>15.2</v>
      </c>
    </row>
    <row r="97" customFormat="false" ht="15.5" hidden="false" customHeight="false" outlineLevel="0" collapsed="false">
      <c r="A97" s="17"/>
      <c r="B97" s="8" t="n">
        <v>85</v>
      </c>
      <c r="C97" s="9" t="s">
        <v>132</v>
      </c>
      <c r="D97" s="8" t="s">
        <v>141</v>
      </c>
      <c r="E97" s="9"/>
      <c r="F97" s="9"/>
      <c r="G97" s="8"/>
      <c r="H97" s="8"/>
      <c r="I97" s="10" t="n">
        <v>0.0695949074074074</v>
      </c>
      <c r="J97" s="11" t="n">
        <v>15</v>
      </c>
    </row>
    <row r="98" customFormat="false" ht="15.5" hidden="false" customHeight="false" outlineLevel="0" collapsed="false">
      <c r="A98" s="17"/>
      <c r="B98" s="8"/>
      <c r="C98" s="9"/>
      <c r="D98" s="8"/>
      <c r="E98" s="9"/>
      <c r="F98" s="9"/>
      <c r="G98" s="8"/>
      <c r="H98" s="8"/>
      <c r="I98" s="10"/>
      <c r="J98" s="11"/>
    </row>
    <row r="99" customFormat="false" ht="15.5" hidden="false" customHeight="false" outlineLevel="0" collapsed="false">
      <c r="A99" s="17" t="s">
        <v>66</v>
      </c>
      <c r="B99" s="8" t="n">
        <v>68</v>
      </c>
      <c r="C99" s="9" t="s">
        <v>132</v>
      </c>
      <c r="D99" s="8" t="s">
        <v>142</v>
      </c>
      <c r="E99" s="9" t="s">
        <v>143</v>
      </c>
      <c r="F99" s="9"/>
      <c r="G99" s="8"/>
      <c r="H99" s="8"/>
      <c r="I99" s="10" t="n">
        <v>0.0592476851851852</v>
      </c>
      <c r="J99" s="11" t="n">
        <v>21.1</v>
      </c>
    </row>
    <row r="100" customFormat="false" ht="15.5" hidden="false" customHeight="false" outlineLevel="0" collapsed="false">
      <c r="A100" s="17"/>
      <c r="B100" s="8" t="n">
        <v>70</v>
      </c>
      <c r="C100" s="9" t="s">
        <v>132</v>
      </c>
      <c r="D100" s="8" t="s">
        <v>144</v>
      </c>
      <c r="E100" s="9" t="s">
        <v>145</v>
      </c>
      <c r="F100" s="9"/>
      <c r="G100" s="8"/>
      <c r="H100" s="8"/>
      <c r="I100" s="10" t="n">
        <v>0.0679976851851852</v>
      </c>
      <c r="J100" s="11" t="n">
        <v>18.4</v>
      </c>
    </row>
    <row r="101" customFormat="false" ht="15.5" hidden="false" customHeight="false" outlineLevel="0" collapsed="false">
      <c r="A101" s="17"/>
      <c r="B101" s="8" t="n">
        <v>71</v>
      </c>
      <c r="C101" s="9" t="s">
        <v>132</v>
      </c>
      <c r="D101" s="8" t="s">
        <v>146</v>
      </c>
      <c r="E101" s="9" t="s">
        <v>145</v>
      </c>
      <c r="F101" s="9"/>
      <c r="G101" s="8"/>
      <c r="H101" s="8"/>
      <c r="I101" s="10" t="n">
        <v>0.071087962962963</v>
      </c>
      <c r="J101" s="11" t="n">
        <v>17.6</v>
      </c>
    </row>
    <row r="102" customFormat="false" ht="15.5" hidden="false" customHeight="false" outlineLevel="0" collapsed="false">
      <c r="A102" s="17"/>
      <c r="B102" s="8" t="n">
        <v>72</v>
      </c>
      <c r="C102" s="9" t="s">
        <v>132</v>
      </c>
      <c r="D102" s="8" t="s">
        <v>147</v>
      </c>
      <c r="E102" s="9" t="s">
        <v>145</v>
      </c>
      <c r="F102" s="9"/>
      <c r="G102" s="8"/>
      <c r="H102" s="8"/>
      <c r="I102" s="10" t="n">
        <v>0.0747222222222222</v>
      </c>
      <c r="J102" s="11" t="n">
        <v>16.7</v>
      </c>
    </row>
    <row r="103" customFormat="false" ht="15.5" hidden="false" customHeight="false" outlineLevel="0" collapsed="false">
      <c r="A103" s="17"/>
      <c r="B103" s="8" t="n">
        <v>80</v>
      </c>
      <c r="C103" s="9" t="s">
        <v>132</v>
      </c>
      <c r="D103" s="8" t="s">
        <v>148</v>
      </c>
      <c r="E103" s="9" t="s">
        <v>149</v>
      </c>
      <c r="F103" s="9"/>
      <c r="G103" s="8"/>
      <c r="H103" s="8"/>
      <c r="I103" s="10" t="n">
        <v>0.0817824074074074</v>
      </c>
      <c r="J103" s="11" t="n">
        <v>15.3</v>
      </c>
    </row>
    <row r="104" customFormat="false" ht="15.5" hidden="false" customHeight="false" outlineLevel="0" collapsed="false">
      <c r="A104" s="17"/>
      <c r="B104" s="8" t="n">
        <v>82</v>
      </c>
      <c r="C104" s="9" t="s">
        <v>132</v>
      </c>
      <c r="D104" s="8" t="s">
        <v>150</v>
      </c>
      <c r="E104" s="9" t="s">
        <v>149</v>
      </c>
      <c r="F104" s="9"/>
      <c r="G104" s="8"/>
      <c r="H104" s="8"/>
      <c r="I104" s="10" t="n">
        <v>0.0848958333333333</v>
      </c>
      <c r="J104" s="11" t="n">
        <v>14.7</v>
      </c>
    </row>
    <row r="105" customFormat="false" ht="15.5" hidden="false" customHeight="false" outlineLevel="0" collapsed="false">
      <c r="A105" s="17"/>
      <c r="B105" s="8" t="n">
        <v>83</v>
      </c>
      <c r="C105" s="9" t="s">
        <v>132</v>
      </c>
      <c r="D105" s="8" t="s">
        <v>151</v>
      </c>
      <c r="E105" s="9" t="s">
        <v>149</v>
      </c>
      <c r="F105" s="9"/>
      <c r="G105" s="8"/>
      <c r="H105" s="8"/>
      <c r="I105" s="10" t="n">
        <v>0.0917592592592593</v>
      </c>
      <c r="J105" s="11" t="n">
        <v>13.6</v>
      </c>
    </row>
    <row r="106" customFormat="false" ht="15.5" hidden="false" customHeight="false" outlineLevel="0" collapsed="false">
      <c r="A106" s="17"/>
      <c r="B106" s="8"/>
      <c r="C106" s="9"/>
      <c r="D106" s="8"/>
      <c r="E106" s="9"/>
      <c r="F106" s="9"/>
      <c r="G106" s="8"/>
      <c r="H106" s="8"/>
      <c r="I106" s="10"/>
      <c r="J106" s="11"/>
    </row>
    <row r="107" customFormat="false" ht="15.5" hidden="false" customHeight="false" outlineLevel="0" collapsed="false">
      <c r="A107" s="17" t="s">
        <v>81</v>
      </c>
      <c r="B107" s="8" t="n">
        <v>61</v>
      </c>
      <c r="C107" s="9" t="s">
        <v>128</v>
      </c>
      <c r="D107" s="8" t="s">
        <v>152</v>
      </c>
      <c r="E107" s="9" t="s">
        <v>153</v>
      </c>
      <c r="F107" s="9" t="s">
        <v>70</v>
      </c>
      <c r="G107" s="8"/>
      <c r="H107" s="8"/>
      <c r="I107" s="10" t="n">
        <v>0.0919791666666667</v>
      </c>
      <c r="J107" s="11" t="n">
        <v>22.7</v>
      </c>
    </row>
    <row r="108" customFormat="false" ht="15.5" hidden="false" customHeight="false" outlineLevel="0" collapsed="false">
      <c r="A108" s="17"/>
      <c r="B108" s="8" t="n">
        <v>63</v>
      </c>
      <c r="C108" s="9" t="s">
        <v>132</v>
      </c>
      <c r="D108" s="8" t="s">
        <v>154</v>
      </c>
      <c r="E108" s="9" t="s">
        <v>107</v>
      </c>
      <c r="F108" s="9"/>
      <c r="G108" s="8"/>
      <c r="H108" s="8"/>
      <c r="I108" s="10" t="n">
        <v>0.105763888888889</v>
      </c>
      <c r="J108" s="11" t="n">
        <v>19.7</v>
      </c>
    </row>
    <row r="109" customFormat="false" ht="15.5" hidden="false" customHeight="false" outlineLevel="0" collapsed="false">
      <c r="A109" s="17"/>
      <c r="B109" s="8" t="n">
        <v>68</v>
      </c>
      <c r="C109" s="9" t="s">
        <v>132</v>
      </c>
      <c r="D109" s="8" t="s">
        <v>155</v>
      </c>
      <c r="E109" s="9" t="s">
        <v>143</v>
      </c>
      <c r="F109" s="9"/>
      <c r="G109" s="8"/>
      <c r="H109" s="8"/>
      <c r="I109" s="10" t="n">
        <v>0.106261574074074</v>
      </c>
      <c r="J109" s="11" t="n">
        <v>19.6</v>
      </c>
    </row>
    <row r="110" customFormat="false" ht="15.5" hidden="false" customHeight="false" outlineLevel="0" collapsed="false">
      <c r="A110" s="17"/>
      <c r="B110" s="8" t="n">
        <v>69</v>
      </c>
      <c r="C110" s="9" t="s">
        <v>132</v>
      </c>
      <c r="D110" s="8" t="s">
        <v>156</v>
      </c>
      <c r="E110" s="9" t="s">
        <v>107</v>
      </c>
      <c r="F110" s="9"/>
      <c r="G110" s="8"/>
      <c r="H110" s="8"/>
      <c r="I110" s="10" t="n">
        <v>0.107627314814815</v>
      </c>
      <c r="J110" s="11" t="n">
        <v>19.4</v>
      </c>
    </row>
    <row r="111" customFormat="false" ht="15.5" hidden="false" customHeight="false" outlineLevel="0" collapsed="false">
      <c r="A111" s="17"/>
      <c r="B111" s="8" t="n">
        <v>72</v>
      </c>
      <c r="C111" s="9" t="s">
        <v>132</v>
      </c>
      <c r="D111" s="8" t="s">
        <v>157</v>
      </c>
      <c r="E111" s="9" t="s">
        <v>107</v>
      </c>
      <c r="F111" s="9"/>
      <c r="G111" s="8"/>
      <c r="H111" s="8"/>
      <c r="I111" s="10" t="n">
        <v>0.114108796296296</v>
      </c>
      <c r="J111" s="11" t="n">
        <v>18.3</v>
      </c>
    </row>
    <row r="112" customFormat="false" ht="15.5" hidden="false" customHeight="false" outlineLevel="0" collapsed="false">
      <c r="A112" s="17"/>
      <c r="B112" s="8"/>
      <c r="C112" s="9"/>
      <c r="D112" s="8"/>
      <c r="E112" s="9"/>
      <c r="F112" s="9"/>
      <c r="G112" s="8"/>
      <c r="H112" s="8"/>
      <c r="I112" s="10"/>
      <c r="J112" s="11"/>
    </row>
    <row r="113" customFormat="false" ht="15.5" hidden="false" customHeight="false" outlineLevel="0" collapsed="false">
      <c r="A113" s="17" t="s">
        <v>89</v>
      </c>
      <c r="B113" s="8" t="n">
        <v>62</v>
      </c>
      <c r="C113" s="9" t="s">
        <v>128</v>
      </c>
      <c r="D113" s="8" t="n">
        <v>1997</v>
      </c>
      <c r="E113" s="9"/>
      <c r="F113" s="9" t="s">
        <v>70</v>
      </c>
      <c r="G113" s="8"/>
      <c r="H113" s="8"/>
      <c r="I113" s="10" t="n">
        <v>0.193206018518518</v>
      </c>
      <c r="J113" s="11" t="n">
        <v>21.6</v>
      </c>
    </row>
    <row r="114" customFormat="false" ht="15.5" hidden="false" customHeight="false" outlineLevel="0" collapsed="false">
      <c r="A114" s="17"/>
      <c r="B114" s="8" t="n">
        <v>63</v>
      </c>
      <c r="C114" s="9" t="s">
        <v>128</v>
      </c>
      <c r="D114" s="8" t="n">
        <v>1997</v>
      </c>
      <c r="E114" s="9"/>
      <c r="F114" s="9"/>
      <c r="G114" s="8"/>
      <c r="H114" s="8"/>
      <c r="I114" s="10" t="n">
        <v>0.195578703703704</v>
      </c>
      <c r="J114" s="11" t="n">
        <v>21.3</v>
      </c>
    </row>
    <row r="115" customFormat="false" ht="15.5" hidden="false" customHeight="false" outlineLevel="0" collapsed="false">
      <c r="A115" s="17"/>
      <c r="B115" s="8" t="n">
        <v>65</v>
      </c>
      <c r="C115" s="9" t="s">
        <v>132</v>
      </c>
      <c r="D115" s="8" t="s">
        <v>158</v>
      </c>
      <c r="E115" s="9" t="s">
        <v>159</v>
      </c>
      <c r="F115" s="9"/>
      <c r="G115" s="8"/>
      <c r="H115" s="8"/>
      <c r="I115" s="10" t="n">
        <v>0.215625</v>
      </c>
      <c r="J115" s="11" t="n">
        <v>19.3</v>
      </c>
    </row>
    <row r="116" customFormat="false" ht="15.5" hidden="false" customHeight="false" outlineLevel="0" collapsed="false">
      <c r="A116" s="17"/>
      <c r="B116" s="8" t="n">
        <v>66</v>
      </c>
      <c r="C116" s="9" t="s">
        <v>132</v>
      </c>
      <c r="D116" s="8" t="s">
        <v>160</v>
      </c>
      <c r="E116" s="9" t="s">
        <v>143</v>
      </c>
      <c r="F116" s="9"/>
      <c r="G116" s="8"/>
      <c r="H116" s="8"/>
      <c r="I116" s="10" t="n">
        <v>0.220613425925926</v>
      </c>
      <c r="J116" s="11" t="n">
        <v>18.9</v>
      </c>
    </row>
    <row r="117" customFormat="false" ht="15.5" hidden="false" customHeight="false" outlineLevel="0" collapsed="false">
      <c r="A117" s="17"/>
      <c r="B117" s="8" t="n">
        <v>67</v>
      </c>
      <c r="C117" s="9" t="s">
        <v>132</v>
      </c>
      <c r="D117" s="8" t="s">
        <v>161</v>
      </c>
      <c r="E117" s="9" t="s">
        <v>143</v>
      </c>
      <c r="F117" s="9"/>
      <c r="G117" s="8"/>
      <c r="H117" s="8"/>
      <c r="I117" s="10" t="n">
        <v>0.228032407407407</v>
      </c>
      <c r="J117" s="11" t="n">
        <v>18.3</v>
      </c>
    </row>
    <row r="118" customFormat="false" ht="15.5" hidden="false" customHeight="false" outlineLevel="0" collapsed="false">
      <c r="A118" s="17"/>
      <c r="B118" s="8" t="n">
        <v>68</v>
      </c>
      <c r="C118" s="9" t="s">
        <v>132</v>
      </c>
      <c r="D118" s="8" t="s">
        <v>162</v>
      </c>
      <c r="E118" s="9" t="s">
        <v>143</v>
      </c>
      <c r="F118" s="9"/>
      <c r="G118" s="8"/>
      <c r="H118" s="8"/>
      <c r="I118" s="10" t="n">
        <v>0.23099537037037</v>
      </c>
      <c r="J118" s="11" t="n">
        <v>18</v>
      </c>
    </row>
    <row r="119" customFormat="false" ht="15.5" hidden="false" customHeight="false" outlineLevel="0" collapsed="false">
      <c r="A119" s="17"/>
      <c r="B119" s="8" t="n">
        <v>70</v>
      </c>
      <c r="C119" s="9" t="s">
        <v>132</v>
      </c>
      <c r="D119" s="8" t="s">
        <v>163</v>
      </c>
      <c r="E119" s="9" t="s">
        <v>164</v>
      </c>
      <c r="F119" s="9"/>
      <c r="G119" s="8"/>
      <c r="H119" s="8"/>
      <c r="I119" s="10" t="n">
        <v>0.235543981481481</v>
      </c>
      <c r="J119" s="11" t="n">
        <v>17.7</v>
      </c>
    </row>
    <row r="120" customFormat="false" ht="15.5" hidden="false" customHeight="false" outlineLevel="0" collapsed="false">
      <c r="A120" s="17"/>
      <c r="B120" s="8" t="n">
        <v>72</v>
      </c>
      <c r="C120" s="9" t="s">
        <v>132</v>
      </c>
      <c r="D120" s="8" t="s">
        <v>165</v>
      </c>
      <c r="E120" s="9" t="s">
        <v>166</v>
      </c>
      <c r="F120" s="9"/>
      <c r="G120" s="8"/>
      <c r="H120" s="8"/>
      <c r="I120" s="10" t="n">
        <v>0.237395833333333</v>
      </c>
      <c r="J120" s="11" t="n">
        <v>17.6</v>
      </c>
    </row>
    <row r="121" customFormat="false" ht="15.5" hidden="false" customHeight="false" outlineLevel="0" collapsed="false">
      <c r="A121" s="17"/>
      <c r="B121" s="8"/>
      <c r="C121" s="9"/>
      <c r="D121" s="8"/>
      <c r="E121" s="9"/>
      <c r="F121" s="9"/>
      <c r="G121" s="8"/>
      <c r="H121" s="8"/>
      <c r="I121" s="10"/>
      <c r="J121" s="11"/>
    </row>
    <row r="122" customFormat="false" ht="15.5" hidden="false" customHeight="false" outlineLevel="0" collapsed="false">
      <c r="A122" s="17" t="s">
        <v>97</v>
      </c>
      <c r="B122" s="8" t="n">
        <v>65</v>
      </c>
      <c r="C122" s="9" t="s">
        <v>128</v>
      </c>
      <c r="D122" s="8" t="n">
        <v>1999</v>
      </c>
      <c r="E122" s="9"/>
      <c r="F122" s="9" t="s">
        <v>70</v>
      </c>
      <c r="G122" s="8"/>
      <c r="H122" s="8"/>
      <c r="I122" s="22" t="s">
        <v>167</v>
      </c>
      <c r="J122" s="11" t="n">
        <v>19.9</v>
      </c>
    </row>
    <row r="123" customFormat="false" ht="15.5" hidden="false" customHeight="false" outlineLevel="0" collapsed="false">
      <c r="A123" s="17"/>
      <c r="B123" s="8" t="n">
        <v>67</v>
      </c>
      <c r="C123" s="9" t="s">
        <v>132</v>
      </c>
      <c r="D123" s="8" t="s">
        <v>168</v>
      </c>
      <c r="E123" s="9" t="s">
        <v>107</v>
      </c>
      <c r="F123" s="9"/>
      <c r="G123" s="8"/>
      <c r="H123" s="8"/>
      <c r="I123" s="22" t="s">
        <v>169</v>
      </c>
      <c r="J123" s="11" t="n">
        <v>17.1</v>
      </c>
    </row>
    <row r="124" customFormat="false" ht="15.5" hidden="false" customHeight="false" outlineLevel="0" collapsed="false">
      <c r="A124" s="17"/>
      <c r="B124" s="8"/>
      <c r="C124" s="9"/>
      <c r="D124" s="8"/>
      <c r="E124" s="9"/>
      <c r="F124" s="9"/>
      <c r="G124" s="8"/>
      <c r="H124" s="8"/>
      <c r="I124" s="10"/>
      <c r="J124" s="11"/>
    </row>
    <row r="125" customFormat="false" ht="15" hidden="false" customHeight="false" outlineLevel="0" collapsed="false">
      <c r="A125" s="23" t="s">
        <v>170</v>
      </c>
      <c r="B125" s="8"/>
      <c r="C125" s="9"/>
      <c r="E125" s="9"/>
      <c r="F125" s="9"/>
      <c r="G125" s="8"/>
      <c r="H125" s="8"/>
      <c r="I125" s="10"/>
      <c r="J125" s="11"/>
    </row>
    <row r="126" customFormat="false" ht="15" hidden="false" customHeight="false" outlineLevel="0" collapsed="false">
      <c r="A126" s="24" t="s">
        <v>171</v>
      </c>
      <c r="B126" s="8"/>
      <c r="C126" s="9"/>
      <c r="E126" s="9"/>
      <c r="F126" s="9"/>
      <c r="G126" s="8"/>
      <c r="H126" s="8"/>
      <c r="I126" s="10"/>
      <c r="J126" s="11"/>
    </row>
    <row r="127" customFormat="false" ht="15" hidden="false" customHeight="false" outlineLevel="0" collapsed="false">
      <c r="A127" s="24" t="s">
        <v>172</v>
      </c>
      <c r="B127" s="8"/>
      <c r="C127" s="9"/>
      <c r="E127" s="9"/>
      <c r="F127" s="9"/>
      <c r="G127" s="8"/>
      <c r="H127" s="8"/>
      <c r="I127" s="10"/>
      <c r="J127" s="11"/>
    </row>
    <row r="128" customFormat="false" ht="15" hidden="false" customHeight="false" outlineLevel="0" collapsed="false">
      <c r="A128" s="24" t="s">
        <v>173</v>
      </c>
      <c r="B128" s="8"/>
      <c r="C128" s="9"/>
      <c r="E128" s="9"/>
      <c r="F128" s="9"/>
      <c r="G128" s="8"/>
      <c r="H128" s="8"/>
      <c r="I128" s="10"/>
      <c r="J128" s="11"/>
    </row>
    <row r="129" customFormat="false" ht="15" hidden="false" customHeight="false" outlineLevel="0" collapsed="false">
      <c r="A129" s="24" t="s">
        <v>174</v>
      </c>
      <c r="B129" s="8"/>
      <c r="C129" s="9"/>
      <c r="E129" s="9"/>
      <c r="F129" s="9"/>
      <c r="G129" s="8"/>
      <c r="H129" s="8"/>
      <c r="I129" s="10"/>
      <c r="J129" s="1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1:J1"/>
    <mergeCell ref="A2:J2"/>
    <mergeCell ref="A3:J3"/>
    <mergeCell ref="A4:J4"/>
    <mergeCell ref="A5:J5"/>
    <mergeCell ref="A6:J6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9" scale="6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2019-11-14T10:01:10Z</dcterms:created>
  <dc:creator/>
  <dc:description/>
  <dc:language>en-GB</dc:language>
  <cp:lastModifiedBy/>
  <dcterms:modified xsi:type="dcterms:W3CDTF">2020-11-14T16:16:21Z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