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2024" sheetId="1" state="visible" r:id="rId2"/>
  </sheets>
  <definedNames>
    <definedName function="false" hidden="false" localSheetId="0" name="_xlnm.Print_Area" vbProcedure="false">'2024'!$A$1:$J$452</definedName>
    <definedName function="false" hidden="false" localSheetId="0" name="_xlnm.Print_Area" vbProcedure="false">'2024'!$A$1:$J$449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J8" authorId="0">
      <text>
        <r>
          <rPr>
            <sz val="11"/>
            <color rgb="FF000000"/>
            <rFont val="Calibri"/>
            <family val="2"/>
            <charset val="1"/>
          </rPr>
          <t xml:space="preserve">Speed is a calculation. Do not overwrite</t>
        </r>
      </text>
    </comment>
  </commentList>
</comments>
</file>

<file path=xl/sharedStrings.xml><?xml version="1.0" encoding="utf-8"?>
<sst xmlns="http://schemas.openxmlformats.org/spreadsheetml/2006/main" count="1072" uniqueCount="295">
  <si>
    <t xml:space="preserve">CAMBRIDGE CC VETERANS' (age over 40) ALL-TIME RECORDS – 2024</t>
  </si>
  <si>
    <r>
      <rPr>
        <sz val="12"/>
        <color rgb="FF000000"/>
        <rFont val="Calibri"/>
        <family val="2"/>
        <charset val="1"/>
      </rPr>
      <t xml:space="preserve">A Veteran can only establish an age record if someone older or of the same age has not already gone faster.  On this list any rider in </t>
    </r>
    <r>
      <rPr>
        <b val="true"/>
        <sz val="12"/>
        <color rgb="FF000000"/>
        <rFont val="Calibri"/>
        <family val="2"/>
        <charset val="1"/>
      </rPr>
      <t xml:space="preserve">bold type</t>
    </r>
    <r>
      <rPr>
        <sz val="12"/>
        <color rgb="FF000000"/>
        <rFont val="Calibri"/>
        <family val="2"/>
        <charset val="1"/>
      </rPr>
      <t xml:space="preserve"> is faster than all younger riders, up as far as the next bold type age on the list.  The youngest name in bold type at each distance is faster than any over-40 in the Club's history.</t>
    </r>
  </si>
  <si>
    <t xml:space="preserve">NN = Current National Age Record          N = Formerly a National Age Record</t>
  </si>
  <si>
    <t xml:space="preserve">AA = Current East Anglian Age Record             A = Formerly an East Anglian Age Record</t>
  </si>
  <si>
    <t xml:space="preserve">Nat</t>
  </si>
  <si>
    <t xml:space="preserve">EA</t>
  </si>
  <si>
    <t xml:space="preserve">MPH</t>
  </si>
  <si>
    <t xml:space="preserve">SOLO BICYCLES – OPEN</t>
  </si>
  <si>
    <t xml:space="preserve">10 miles</t>
  </si>
  <si>
    <t xml:space="preserve">David McGaw</t>
  </si>
  <si>
    <t xml:space="preserve">23.03.19</t>
  </si>
  <si>
    <t xml:space="preserve">E2/10</t>
  </si>
  <si>
    <t xml:space="preserve">Mick Draper</t>
  </si>
  <si>
    <t xml:space="preserve">Ken Platts</t>
  </si>
  <si>
    <t xml:space="preserve">N</t>
  </si>
  <si>
    <t xml:space="preserve">John Morley</t>
  </si>
  <si>
    <t xml:space="preserve">Freddie Whipp</t>
  </si>
  <si>
    <t xml:space="preserve">05.07.06</t>
  </si>
  <si>
    <t xml:space="preserve">F20/10</t>
  </si>
  <si>
    <t xml:space="preserve">A</t>
  </si>
  <si>
    <t xml:space="preserve">Martin Reynolds</t>
  </si>
  <si>
    <t xml:space="preserve">14.07.19</t>
  </si>
  <si>
    <t xml:space="preserve">F11/10</t>
  </si>
  <si>
    <t xml:space="preserve">Bob Watson</t>
  </si>
  <si>
    <t xml:space="preserve">27.08.17</t>
  </si>
  <si>
    <t xml:space="preserve">V718</t>
  </si>
  <si>
    <t xml:space="preserve">André Dyason</t>
  </si>
  <si>
    <t xml:space="preserve">22.07.17</t>
  </si>
  <si>
    <t xml:space="preserve">Derek Mayne</t>
  </si>
  <si>
    <t xml:space="preserve">John Lindsell</t>
  </si>
  <si>
    <t xml:space="preserve">19.06.24</t>
  </si>
  <si>
    <t xml:space="preserve">31.05.14</t>
  </si>
  <si>
    <t xml:space="preserve">Gerry Ashley</t>
  </si>
  <si>
    <t xml:space="preserve">Andy Grant</t>
  </si>
  <si>
    <t xml:space="preserve">07.06.16</t>
  </si>
  <si>
    <t xml:space="preserve">23.07.15</t>
  </si>
  <si>
    <t xml:space="preserve">F2A/10</t>
  </si>
  <si>
    <t xml:space="preserve">09.06.16</t>
  </si>
  <si>
    <t xml:space="preserve">16.06.18</t>
  </si>
  <si>
    <t xml:space="preserve">AA</t>
  </si>
  <si>
    <t xml:space="preserve">05.05.18</t>
  </si>
  <si>
    <t xml:space="preserve">06.05.17</t>
  </si>
  <si>
    <t xml:space="preserve">15.06.19</t>
  </si>
  <si>
    <t xml:space="preserve">NN</t>
  </si>
  <si>
    <t xml:space="preserve">01.09.18</t>
  </si>
  <si>
    <t xml:space="preserve">18.07.18</t>
  </si>
  <si>
    <t xml:space="preserve">Chris Dyason</t>
  </si>
  <si>
    <t xml:space="preserve">06.09.14</t>
  </si>
  <si>
    <t xml:space="preserve">Ted Wells</t>
  </si>
  <si>
    <t xml:space="preserve">18.07.21</t>
  </si>
  <si>
    <t xml:space="preserve">23.06.21</t>
  </si>
  <si>
    <t xml:space="preserve">02.06.21.</t>
  </si>
  <si>
    <t xml:space="preserve">16.05.21</t>
  </si>
  <si>
    <t xml:space="preserve">02.09.17</t>
  </si>
  <si>
    <t xml:space="preserve">15.07.18</t>
  </si>
  <si>
    <t xml:space="preserve">03.06.23</t>
  </si>
  <si>
    <t xml:space="preserve">Peter Baumber</t>
  </si>
  <si>
    <t xml:space="preserve">16.06.21</t>
  </si>
  <si>
    <t xml:space="preserve">14.08.04</t>
  </si>
  <si>
    <t xml:space="preserve">01.6.22</t>
  </si>
  <si>
    <t xml:space="preserve">02.09.23</t>
  </si>
  <si>
    <t xml:space="preserve">26.06.24</t>
  </si>
  <si>
    <t xml:space="preserve">08.08.09</t>
  </si>
  <si>
    <t xml:space="preserve">30.06.10</t>
  </si>
  <si>
    <t xml:space="preserve">B10/3</t>
  </si>
  <si>
    <t xml:space="preserve">20.06.13</t>
  </si>
  <si>
    <t xml:space="preserve">15 miles</t>
  </si>
  <si>
    <t xml:space="preserve">17.08.19</t>
  </si>
  <si>
    <t xml:space="preserve">F2/15</t>
  </si>
  <si>
    <t xml:space="preserve">B15/1</t>
  </si>
  <si>
    <t xml:space="preserve">10.07.19</t>
  </si>
  <si>
    <t xml:space="preserve">5.9.20</t>
  </si>
  <si>
    <t xml:space="preserve">30.5.21</t>
  </si>
  <si>
    <t xml:space="preserve">24.03.19</t>
  </si>
  <si>
    <t xml:space="preserve">B15/2</t>
  </si>
  <si>
    <t xml:space="preserve">30.05.21</t>
  </si>
  <si>
    <t xml:space="preserve">25.05.22</t>
  </si>
  <si>
    <t xml:space="preserve">B15/3</t>
  </si>
  <si>
    <t xml:space="preserve">26.08.23</t>
  </si>
  <si>
    <t xml:space="preserve">03.07.13</t>
  </si>
  <si>
    <t xml:space="preserve">25 miles</t>
  </si>
  <si>
    <t xml:space="preserve">Grahame Fisher</t>
  </si>
  <si>
    <t xml:space="preserve">B25/38</t>
  </si>
  <si>
    <t xml:space="preserve">14.07.12</t>
  </si>
  <si>
    <t xml:space="preserve">E2/25</t>
  </si>
  <si>
    <t xml:space="preserve">14.06.14</t>
  </si>
  <si>
    <t xml:space="preserve">05.09.15</t>
  </si>
  <si>
    <t xml:space="preserve">25.06.16</t>
  </si>
  <si>
    <t xml:space="preserve">03.06.18</t>
  </si>
  <si>
    <t xml:space="preserve">R25/3H</t>
  </si>
  <si>
    <t xml:space="preserve">27.05.18</t>
  </si>
  <si>
    <t xml:space="preserve">08.04.17</t>
  </si>
  <si>
    <t xml:space="preserve">23.06.19</t>
  </si>
  <si>
    <t xml:space="preserve">06.04.19</t>
  </si>
  <si>
    <t xml:space="preserve">08.07.18</t>
  </si>
  <si>
    <t xml:space="preserve">B25/8</t>
  </si>
  <si>
    <t xml:space="preserve">24.08.14</t>
  </si>
  <si>
    <t xml:space="preserve">20.09.20</t>
  </si>
  <si>
    <t xml:space="preserve">07.08.21</t>
  </si>
  <si>
    <t xml:space="preserve">F2A/25</t>
  </si>
  <si>
    <t xml:space="preserve">21.07.21</t>
  </si>
  <si>
    <t xml:space="preserve">20.08.16</t>
  </si>
  <si>
    <t xml:space="preserve">11.09.22</t>
  </si>
  <si>
    <t xml:space="preserve">F2a/25</t>
  </si>
  <si>
    <t xml:space="preserve">07.05.22</t>
  </si>
  <si>
    <t xml:space="preserve">26.08.17</t>
  </si>
  <si>
    <t xml:space="preserve">08.09.18</t>
  </si>
  <si>
    <t xml:space="preserve">07.07.01</t>
  </si>
  <si>
    <t xml:space="preserve">F1/25</t>
  </si>
  <si>
    <t xml:space="preserve">18.08.02</t>
  </si>
  <si>
    <t xml:space="preserve">F1b/25</t>
  </si>
  <si>
    <t xml:space="preserve">24.05.03</t>
  </si>
  <si>
    <t xml:space="preserve">12.09.21</t>
  </si>
  <si>
    <t xml:space="preserve">F2/25</t>
  </si>
  <si>
    <t xml:space="preserve">A25/34</t>
  </si>
  <si>
    <t xml:space="preserve">23.09.23</t>
  </si>
  <si>
    <t xml:space="preserve">24.06.06</t>
  </si>
  <si>
    <t xml:space="preserve">20.07.24</t>
  </si>
  <si>
    <t xml:space="preserve">09.09.07</t>
  </si>
  <si>
    <t xml:space="preserve">04.09.10</t>
  </si>
  <si>
    <t xml:space="preserve">29.06.13</t>
  </si>
  <si>
    <t xml:space="preserve">30 miles</t>
  </si>
  <si>
    <t xml:space="preserve">Peter Hoare</t>
  </si>
  <si>
    <t xml:space="preserve">Paul Rivett</t>
  </si>
  <si>
    <t xml:space="preserve">11.06.06</t>
  </si>
  <si>
    <t xml:space="preserve">E2/30</t>
  </si>
  <si>
    <t xml:space="preserve">22.09.18</t>
  </si>
  <si>
    <t xml:space="preserve">E2/30c</t>
  </si>
  <si>
    <t xml:space="preserve">The Club Senior Record</t>
  </si>
  <si>
    <t xml:space="preserve">05.10.13</t>
  </si>
  <si>
    <t xml:space="preserve">03.10.15</t>
  </si>
  <si>
    <t xml:space="preserve">07.10.17</t>
  </si>
  <si>
    <t xml:space="preserve">12.07.14</t>
  </si>
  <si>
    <t xml:space="preserve">A30/9</t>
  </si>
  <si>
    <t xml:space="preserve">28.08.21</t>
  </si>
  <si>
    <t xml:space="preserve">B30/1b</t>
  </si>
  <si>
    <t xml:space="preserve">29.07.01</t>
  </si>
  <si>
    <t xml:space="preserve">E72</t>
  </si>
  <si>
    <t xml:space="preserve">20.06.19</t>
  </si>
  <si>
    <t xml:space="preserve">B30/1</t>
  </si>
  <si>
    <t xml:space="preserve">09.06.02</t>
  </si>
  <si>
    <t xml:space="preserve">08.06.03</t>
  </si>
  <si>
    <t xml:space="preserve">E5/30e</t>
  </si>
  <si>
    <t xml:space="preserve">01.05.21</t>
  </si>
  <si>
    <t xml:space="preserve">F2/30</t>
  </si>
  <si>
    <t xml:space="preserve">21.08.22</t>
  </si>
  <si>
    <t xml:space="preserve">L308</t>
  </si>
  <si>
    <t xml:space="preserve">09.07.05</t>
  </si>
  <si>
    <t xml:space="preserve">22.07.07</t>
  </si>
  <si>
    <t xml:space="preserve">11.05.24</t>
  </si>
  <si>
    <t xml:space="preserve">E33/30</t>
  </si>
  <si>
    <t xml:space="preserve">28.06.08</t>
  </si>
  <si>
    <t xml:space="preserve">50 miles</t>
  </si>
  <si>
    <t xml:space="preserve">Mick Swales</t>
  </si>
  <si>
    <t xml:space="preserve">H50/14</t>
  </si>
  <si>
    <t xml:space="preserve">E2/50B</t>
  </si>
  <si>
    <t xml:space="preserve">F1/50</t>
  </si>
  <si>
    <t xml:space="preserve">31.05.08</t>
  </si>
  <si>
    <t xml:space="preserve">E2/50c</t>
  </si>
  <si>
    <t xml:space="preserve">21.07.12</t>
  </si>
  <si>
    <t xml:space="preserve">20.07.13</t>
  </si>
  <si>
    <t xml:space="preserve">14.05.16</t>
  </si>
  <si>
    <t xml:space="preserve">12.05.18</t>
  </si>
  <si>
    <t xml:space="preserve">15.07.17</t>
  </si>
  <si>
    <t xml:space="preserve">04.08.96</t>
  </si>
  <si>
    <t xml:space="preserve">F1g</t>
  </si>
  <si>
    <t xml:space="preserve">15.8.20</t>
  </si>
  <si>
    <t xml:space="preserve">16.06.19</t>
  </si>
  <si>
    <t xml:space="preserve">29.05.94</t>
  </si>
  <si>
    <t xml:space="preserve">E82</t>
  </si>
  <si>
    <t xml:space="preserve">13.06.21</t>
  </si>
  <si>
    <t xml:space="preserve">F2/50</t>
  </si>
  <si>
    <t xml:space="preserve">22.5.21</t>
  </si>
  <si>
    <t xml:space="preserve">22.5.22</t>
  </si>
  <si>
    <t xml:space="preserve">13.05.17</t>
  </si>
  <si>
    <t xml:space="preserve">20.08.00</t>
  </si>
  <si>
    <t xml:space="preserve">E2/50b</t>
  </si>
  <si>
    <t xml:space="preserve">21.07.19</t>
  </si>
  <si>
    <t xml:space="preserve">04.08.02</t>
  </si>
  <si>
    <t xml:space="preserve">22.05.21</t>
  </si>
  <si>
    <t xml:space="preserve">21.05.22</t>
  </si>
  <si>
    <t xml:space="preserve">27.05.23.</t>
  </si>
  <si>
    <t xml:space="preserve">18.06.24</t>
  </si>
  <si>
    <t xml:space="preserve">26.07.08</t>
  </si>
  <si>
    <t xml:space="preserve">E2/50</t>
  </si>
  <si>
    <t xml:space="preserve">100 miles</t>
  </si>
  <si>
    <t xml:space="preserve">H100/13</t>
  </si>
  <si>
    <t xml:space="preserve">26.06.11</t>
  </si>
  <si>
    <t xml:space="preserve">E2/100</t>
  </si>
  <si>
    <t xml:space="preserve">22.06.14</t>
  </si>
  <si>
    <t xml:space="preserve">19.06.16</t>
  </si>
  <si>
    <t xml:space="preserve">B100/4</t>
  </si>
  <si>
    <t xml:space="preserve">18.06.17</t>
  </si>
  <si>
    <t xml:space="preserve">07.07.96</t>
  </si>
  <si>
    <t xml:space="preserve">F1h</t>
  </si>
  <si>
    <t xml:space="preserve">30.08.98</t>
  </si>
  <si>
    <t xml:space="preserve">B100/8</t>
  </si>
  <si>
    <t xml:space="preserve">30.07.00</t>
  </si>
  <si>
    <t xml:space="preserve">F1/100</t>
  </si>
  <si>
    <t xml:space="preserve">12 hours</t>
  </si>
  <si>
    <t xml:space="preserve">236.95m</t>
  </si>
  <si>
    <t xml:space="preserve">252.75m</t>
  </si>
  <si>
    <t xml:space="preserve">260.67m</t>
  </si>
  <si>
    <t xml:space="preserve">248.47m</t>
  </si>
  <si>
    <t xml:space="preserve">19.08.07</t>
  </si>
  <si>
    <t xml:space="preserve">E2/12h</t>
  </si>
  <si>
    <t xml:space="preserve">283.10m</t>
  </si>
  <si>
    <t xml:space="preserve">280.56m</t>
  </si>
  <si>
    <t xml:space="preserve">22.08.10</t>
  </si>
  <si>
    <t xml:space="preserve">E2/12hr</t>
  </si>
  <si>
    <t xml:space="preserve">280.57m</t>
  </si>
  <si>
    <t xml:space="preserve">236.70m</t>
  </si>
  <si>
    <t xml:space="preserve">17.08.13</t>
  </si>
  <si>
    <t xml:space="preserve">275.06m</t>
  </si>
  <si>
    <t xml:space="preserve">Ken Usher</t>
  </si>
  <si>
    <t xml:space="preserve">10.09.95</t>
  </si>
  <si>
    <t xml:space="preserve">On a tricycle</t>
  </si>
  <si>
    <t xml:space="preserve">237.00m</t>
  </si>
  <si>
    <t xml:space="preserve">223.14m</t>
  </si>
  <si>
    <t xml:space="preserve">12.09.93</t>
  </si>
  <si>
    <t xml:space="preserve">F1</t>
  </si>
  <si>
    <t xml:space="preserve">226.79m</t>
  </si>
  <si>
    <t xml:space="preserve">24 hours</t>
  </si>
  <si>
    <t xml:space="preserve">Bill Clough</t>
  </si>
  <si>
    <t xml:space="preserve">29.08.93</t>
  </si>
  <si>
    <t xml:space="preserve">B24</t>
  </si>
  <si>
    <t xml:space="preserve">398.63m</t>
  </si>
  <si>
    <t xml:space="preserve">374.13m</t>
  </si>
  <si>
    <t xml:space="preserve">26.08.95</t>
  </si>
  <si>
    <t xml:space="preserve">B24/1</t>
  </si>
  <si>
    <t xml:space="preserve">387.10m</t>
  </si>
  <si>
    <t xml:space="preserve">21.06.92</t>
  </si>
  <si>
    <t xml:space="preserve">B24/2</t>
  </si>
  <si>
    <t xml:space="preserve">360.69m</t>
  </si>
  <si>
    <t xml:space="preserve">SOLO BICYCLES – FEMALE</t>
  </si>
  <si>
    <t xml:space="preserve">Angela Platt</t>
  </si>
  <si>
    <t xml:space="preserve">16.06.01</t>
  </si>
  <si>
    <t xml:space="preserve">B10/34</t>
  </si>
  <si>
    <t xml:space="preserve">Julia Ertner</t>
  </si>
  <si>
    <t xml:space="preserve">04.03.17</t>
  </si>
  <si>
    <t xml:space="preserve">B10/19</t>
  </si>
  <si>
    <t xml:space="preserve">Ann Shuttleworth</t>
  </si>
  <si>
    <t xml:space="preserve">14.09.19</t>
  </si>
  <si>
    <t xml:space="preserve">B10/3a</t>
  </si>
  <si>
    <t xml:space="preserve">27.04.24</t>
  </si>
  <si>
    <t xml:space="preserve">11.09.16</t>
  </si>
  <si>
    <t xml:space="preserve">TRICYCLES – OPEN</t>
  </si>
  <si>
    <t xml:space="preserve">14.06.90</t>
  </si>
  <si>
    <t xml:space="preserve">2y10</t>
  </si>
  <si>
    <t xml:space="preserve">27.05.95</t>
  </si>
  <si>
    <t xml:space="preserve">C10/1</t>
  </si>
  <si>
    <t xml:space="preserve">21.05.11</t>
  </si>
  <si>
    <t xml:space="preserve">22.09.01</t>
  </si>
  <si>
    <t xml:space="preserve">13.06.02</t>
  </si>
  <si>
    <t xml:space="preserve">20.08.95</t>
  </si>
  <si>
    <t xml:space="preserve">F1a</t>
  </si>
  <si>
    <t xml:space="preserve">17.08.03</t>
  </si>
  <si>
    <t xml:space="preserve">26.09.04</t>
  </si>
  <si>
    <t xml:space="preserve">14.08.05</t>
  </si>
  <si>
    <t xml:space="preserve">24.09.06</t>
  </si>
  <si>
    <t xml:space="preserve">03.06.89</t>
  </si>
  <si>
    <t xml:space="preserve">18.05.91</t>
  </si>
  <si>
    <t xml:space="preserve">B30/6</t>
  </si>
  <si>
    <t xml:space="preserve">17.05.92</t>
  </si>
  <si>
    <t xml:space="preserve">16.06.93</t>
  </si>
  <si>
    <t xml:space="preserve">29.09.01</t>
  </si>
  <si>
    <t xml:space="preserve">E1/30</t>
  </si>
  <si>
    <t xml:space="preserve">27.09.03</t>
  </si>
  <si>
    <t xml:space="preserve">03.10.04</t>
  </si>
  <si>
    <t xml:space="preserve">06.08.95</t>
  </si>
  <si>
    <t xml:space="preserve">10.06.84</t>
  </si>
  <si>
    <t xml:space="preserve">F1 </t>
  </si>
  <si>
    <t xml:space="preserve">25.06.89</t>
  </si>
  <si>
    <t xml:space="preserve">16.06.90</t>
  </si>
  <si>
    <t xml:space="preserve">08.08.93</t>
  </si>
  <si>
    <t xml:space="preserve">17.08.86</t>
  </si>
  <si>
    <t xml:space="preserve">E39</t>
  </si>
  <si>
    <t xml:space="preserve">16.08.87</t>
  </si>
  <si>
    <t xml:space="preserve">03.07.88</t>
  </si>
  <si>
    <t xml:space="preserve">02.07.89</t>
  </si>
  <si>
    <t xml:space="preserve">07.07.91</t>
  </si>
  <si>
    <t xml:space="preserve">F1d</t>
  </si>
  <si>
    <t xml:space="preserve">04.07.93</t>
  </si>
  <si>
    <t xml:space="preserve">229.27m</t>
  </si>
  <si>
    <t xml:space="preserve">200.83m</t>
  </si>
  <si>
    <t xml:space="preserve">206.05m</t>
  </si>
  <si>
    <t xml:space="preserve">239.23m</t>
  </si>
  <si>
    <t xml:space="preserve">07.09.86</t>
  </si>
  <si>
    <t xml:space="preserve">206.66m</t>
  </si>
  <si>
    <t xml:space="preserve">11.09.88</t>
  </si>
  <si>
    <t xml:space="preserve">205.73m</t>
  </si>
  <si>
    <t xml:space="preserve">Making a claim</t>
  </si>
  <si>
    <t xml:space="preserve">If you wish to make a claim for a record, send details of the event, date, time and distance to: -</t>
  </si>
  <si>
    <t xml:space="preserve">records@cambridgecc.co.uk </t>
  </si>
  <si>
    <t xml:space="preserve">Note that only rides in Official CTT events or Cambridge CC club events qualify.</t>
  </si>
</sst>
</file>

<file path=xl/styles.xml><?xml version="1.0" encoding="utf-8"?>
<styleSheet xmlns="http://schemas.openxmlformats.org/spreadsheetml/2006/main">
  <numFmts count="6">
    <numFmt numFmtId="164" formatCode="General"/>
    <numFmt numFmtId="165" formatCode="[h]:mm:ss"/>
    <numFmt numFmtId="166" formatCode="0.0"/>
    <numFmt numFmtId="167" formatCode="hh:mm:ss"/>
    <numFmt numFmtId="168" formatCode="@"/>
    <numFmt numFmtId="169" formatCode="dd/mm/yyyy"/>
  </numFmts>
  <fonts count="10">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8"/>
      <color rgb="FF000000"/>
      <name val="Calibri"/>
      <family val="2"/>
      <charset val="1"/>
    </font>
    <font>
      <sz val="12"/>
      <color rgb="FF000000"/>
      <name val="Calibri"/>
      <family val="2"/>
      <charset val="1"/>
    </font>
    <font>
      <b val="true"/>
      <sz val="12"/>
      <color rgb="FF000000"/>
      <name val="Calibri"/>
      <family val="2"/>
      <charset val="1"/>
    </font>
    <font>
      <b val="true"/>
      <sz val="10"/>
      <color rgb="FF000000"/>
      <name val="Arial Narrow"/>
      <family val="2"/>
      <charset val="1"/>
    </font>
    <font>
      <sz val="10"/>
      <color rgb="FF000000"/>
      <name val="Arial Narrow"/>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6" fontId="6"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6" fontId="7"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center" vertical="bottom" textRotation="0" wrapText="false" indent="0" shrinkToFit="false"/>
      <protection locked="true" hidden="false"/>
    </xf>
    <xf numFmtId="167" fontId="7" fillId="0" borderId="0" xfId="0" applyFont="true" applyBorder="false" applyAlignment="true" applyProtection="false">
      <alignment horizontal="center" vertical="bottom" textRotation="0" wrapText="false" indent="0" shrinkToFit="false"/>
      <protection locked="true" hidden="false"/>
    </xf>
    <xf numFmtId="168" fontId="6" fillId="0" borderId="0" xfId="0" applyFont="true" applyBorder="false" applyAlignment="true" applyProtection="false">
      <alignment horizontal="center" vertical="bottom" textRotation="0" wrapText="false" indent="0" shrinkToFit="false"/>
      <protection locked="true" hidden="false"/>
    </xf>
    <xf numFmtId="168" fontId="7"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S4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9.11"/>
    <col collapsed="false" customWidth="true" hidden="false" outlineLevel="0" max="2" min="2" style="2" width="6.34"/>
    <col collapsed="false" customWidth="true" hidden="false" outlineLevel="0" max="3" min="3" style="0" width="21.11"/>
    <col collapsed="false" customWidth="true" hidden="false" outlineLevel="0" max="4" min="4" style="2" width="11.33"/>
    <col collapsed="false" customWidth="true" hidden="false" outlineLevel="0" max="6" min="6" style="0" width="22.67"/>
    <col collapsed="false" customWidth="true" hidden="false" outlineLevel="0" max="8" min="7" style="0" width="4.34"/>
    <col collapsed="false" customWidth="true" hidden="false" outlineLevel="0" max="9" min="9" style="3" width="10.11"/>
    <col collapsed="false" customWidth="true" hidden="false" outlineLevel="0" max="10" min="10" style="3" width="12.22"/>
    <col collapsed="false" customWidth="true" hidden="false" outlineLevel="0" max="12" min="12" style="0" width="10.55"/>
    <col collapsed="false" customWidth="true" hidden="false" outlineLevel="0" max="1024" min="1024" style="0" width="9.11"/>
  </cols>
  <sheetData>
    <row r="1" customFormat="false" ht="23.25" hidden="false" customHeight="false" outlineLevel="0" collapsed="false">
      <c r="A1" s="4" t="s">
        <v>0</v>
      </c>
      <c r="B1" s="4"/>
      <c r="C1" s="4"/>
      <c r="D1" s="4"/>
      <c r="E1" s="4"/>
      <c r="F1" s="4"/>
      <c r="G1" s="4"/>
      <c r="H1" s="4"/>
      <c r="I1" s="4"/>
      <c r="J1" s="4"/>
    </row>
    <row r="2" customFormat="false" ht="8.25" hidden="false" customHeight="true" outlineLevel="0" collapsed="false"/>
    <row r="3" customFormat="false" ht="50.25" hidden="false" customHeight="true" outlineLevel="0" collapsed="false">
      <c r="A3" s="5" t="s">
        <v>1</v>
      </c>
      <c r="B3" s="5"/>
      <c r="C3" s="5"/>
      <c r="D3" s="5"/>
      <c r="E3" s="5"/>
      <c r="F3" s="5"/>
      <c r="G3" s="5"/>
      <c r="H3" s="5"/>
      <c r="I3" s="5"/>
      <c r="J3" s="5"/>
    </row>
    <row r="4" customFormat="false" ht="6.75" hidden="false" customHeight="true" outlineLevel="0" collapsed="false">
      <c r="A4" s="6"/>
      <c r="B4" s="6"/>
      <c r="C4" s="6"/>
      <c r="D4" s="6"/>
      <c r="E4" s="6"/>
      <c r="F4" s="6"/>
      <c r="G4" s="6"/>
      <c r="H4" s="6"/>
      <c r="I4" s="6"/>
      <c r="J4" s="6"/>
    </row>
    <row r="5" customFormat="false" ht="15.75" hidden="false" customHeight="true" outlineLevel="0" collapsed="false">
      <c r="A5" s="5" t="s">
        <v>2</v>
      </c>
      <c r="B5" s="5"/>
      <c r="C5" s="5"/>
      <c r="D5" s="5"/>
      <c r="E5" s="5"/>
      <c r="F5" s="5"/>
      <c r="G5" s="5"/>
      <c r="H5" s="5"/>
      <c r="I5" s="5"/>
      <c r="J5" s="5"/>
    </row>
    <row r="6" customFormat="false" ht="12.75" hidden="false" customHeight="true" outlineLevel="0" collapsed="false">
      <c r="A6" s="5" t="s">
        <v>3</v>
      </c>
      <c r="B6" s="5"/>
      <c r="C6" s="5"/>
      <c r="D6" s="5"/>
      <c r="E6" s="5"/>
      <c r="F6" s="5"/>
      <c r="G6" s="5"/>
      <c r="H6" s="5"/>
      <c r="I6" s="5"/>
      <c r="J6" s="5"/>
    </row>
    <row r="7" customFormat="false" ht="9" hidden="false" customHeight="true" outlineLevel="0" collapsed="false">
      <c r="A7" s="7"/>
      <c r="B7" s="8"/>
      <c r="C7" s="7"/>
      <c r="D7" s="8"/>
      <c r="E7" s="7"/>
      <c r="F7" s="7"/>
      <c r="G7" s="7"/>
      <c r="H7" s="7"/>
      <c r="I7" s="9"/>
      <c r="J7" s="9"/>
    </row>
    <row r="8" customFormat="false" ht="15" hidden="false" customHeight="false" outlineLevel="0" collapsed="false">
      <c r="A8" s="10"/>
      <c r="B8" s="8"/>
      <c r="C8" s="7"/>
      <c r="D8" s="8"/>
      <c r="E8" s="7"/>
      <c r="F8" s="7"/>
      <c r="G8" s="10" t="s">
        <v>4</v>
      </c>
      <c r="H8" s="10" t="s">
        <v>5</v>
      </c>
      <c r="I8" s="9"/>
      <c r="J8" s="11" t="s">
        <v>6</v>
      </c>
    </row>
    <row r="9" customFormat="false" ht="15" hidden="false" customHeight="false" outlineLevel="0" collapsed="false">
      <c r="A9" s="10" t="s">
        <v>7</v>
      </c>
      <c r="B9" s="8"/>
      <c r="C9" s="7"/>
      <c r="D9" s="8"/>
      <c r="E9" s="7"/>
      <c r="F9" s="7"/>
      <c r="G9" s="7"/>
      <c r="H9" s="7"/>
      <c r="I9" s="9"/>
      <c r="J9" s="9"/>
    </row>
    <row r="10" customFormat="false" ht="15" hidden="false" customHeight="false" outlineLevel="0" collapsed="false">
      <c r="A10" s="10"/>
      <c r="B10" s="8"/>
      <c r="C10" s="7"/>
      <c r="D10" s="8"/>
      <c r="E10" s="7"/>
      <c r="F10" s="7"/>
      <c r="J10" s="2"/>
    </row>
    <row r="11" customFormat="false" ht="15" hidden="false" customHeight="false" outlineLevel="0" collapsed="false">
      <c r="A11" s="10" t="s">
        <v>8</v>
      </c>
      <c r="B11" s="8" t="n">
        <v>40</v>
      </c>
      <c r="C11" s="7" t="s">
        <v>9</v>
      </c>
      <c r="D11" s="8" t="s">
        <v>10</v>
      </c>
      <c r="E11" s="7" t="s">
        <v>11</v>
      </c>
      <c r="F11" s="7"/>
      <c r="G11" s="8"/>
      <c r="H11" s="8"/>
      <c r="I11" s="9" t="n">
        <v>0.0135763888888889</v>
      </c>
      <c r="J11" s="12" t="n">
        <f aca="false">VALUE(SUBSTITUTE($A$11,"miles",""))/(I11*24)</f>
        <v>30.690537084399</v>
      </c>
    </row>
    <row r="12" customFormat="false" ht="15" hidden="false" customHeight="false" outlineLevel="0" collapsed="false">
      <c r="A12" s="10"/>
      <c r="B12" s="8" t="n">
        <v>42</v>
      </c>
      <c r="C12" s="7" t="s">
        <v>12</v>
      </c>
      <c r="D12" s="8" t="n">
        <v>1979</v>
      </c>
      <c r="E12" s="7"/>
      <c r="F12" s="7"/>
      <c r="G12" s="8"/>
      <c r="H12" s="8"/>
      <c r="I12" s="9" t="n">
        <v>0.0162615740740741</v>
      </c>
      <c r="J12" s="12" t="n">
        <f aca="false">VALUE(SUBSTITUTE($A$11,"miles",""))/(I12*24)</f>
        <v>25.6227758007117</v>
      </c>
    </row>
    <row r="13" customFormat="false" ht="15" hidden="false" customHeight="false" outlineLevel="0" collapsed="false">
      <c r="A13" s="10"/>
      <c r="B13" s="8" t="n">
        <v>47</v>
      </c>
      <c r="C13" s="7" t="s">
        <v>12</v>
      </c>
      <c r="D13" s="8" t="n">
        <v>1984</v>
      </c>
      <c r="E13" s="7"/>
      <c r="F13" s="7"/>
      <c r="G13" s="8"/>
      <c r="H13" s="8"/>
      <c r="I13" s="9" t="n">
        <v>0.0162384259259259</v>
      </c>
      <c r="J13" s="12" t="n">
        <f aca="false">VALUE(SUBSTITUTE($A$11,"miles",""))/(I13*24)</f>
        <v>25.6593014967926</v>
      </c>
    </row>
    <row r="14" customFormat="false" ht="15" hidden="false" customHeight="false" outlineLevel="0" collapsed="false">
      <c r="A14" s="10"/>
      <c r="B14" s="8" t="n">
        <v>48</v>
      </c>
      <c r="C14" s="7" t="s">
        <v>13</v>
      </c>
      <c r="D14" s="8" t="n">
        <v>2000</v>
      </c>
      <c r="E14" s="7" t="s">
        <v>11</v>
      </c>
      <c r="F14" s="7"/>
      <c r="G14" s="8" t="s">
        <v>14</v>
      </c>
      <c r="H14" s="8"/>
      <c r="I14" s="9" t="n">
        <v>0.0135648148148148</v>
      </c>
      <c r="J14" s="12" t="n">
        <f aca="false">VALUE(SUBSTITUTE($A$11,"miles",""))/(I14*24)</f>
        <v>30.7167235494881</v>
      </c>
    </row>
    <row r="15" customFormat="false" ht="15" hidden="false" customHeight="false" outlineLevel="0" collapsed="false">
      <c r="A15" s="10"/>
      <c r="B15" s="8" t="n">
        <v>49</v>
      </c>
      <c r="C15" s="7" t="s">
        <v>15</v>
      </c>
      <c r="D15" s="8" t="n">
        <v>1989</v>
      </c>
      <c r="E15" s="7"/>
      <c r="F15" s="7"/>
      <c r="G15" s="8"/>
      <c r="H15" s="8"/>
      <c r="I15" s="9" t="n">
        <v>0.0153356481481481</v>
      </c>
      <c r="J15" s="12" t="n">
        <f aca="false">VALUE(SUBSTITUTE($A$11,"miles",""))/(I15*24)</f>
        <v>27.1698113207548</v>
      </c>
    </row>
    <row r="16" customFormat="false" ht="15" hidden="false" customHeight="false" outlineLevel="0" collapsed="false">
      <c r="A16" s="10"/>
      <c r="B16" s="8" t="n">
        <v>49</v>
      </c>
      <c r="C16" s="7" t="s">
        <v>16</v>
      </c>
      <c r="D16" s="8" t="n">
        <v>1984</v>
      </c>
      <c r="E16" s="7"/>
      <c r="F16" s="7"/>
      <c r="G16" s="8"/>
      <c r="H16" s="8"/>
      <c r="I16" s="9" t="n">
        <v>0.0164814814814815</v>
      </c>
      <c r="J16" s="12" t="n">
        <f aca="false">VALUE(SUBSTITUTE($A$11,"miles",""))/(I16*24)</f>
        <v>25.2808988764045</v>
      </c>
    </row>
    <row r="17" customFormat="false" ht="15" hidden="false" customHeight="false" outlineLevel="0" collapsed="false">
      <c r="A17" s="10"/>
      <c r="B17" s="8" t="n">
        <v>50</v>
      </c>
      <c r="C17" s="7" t="s">
        <v>15</v>
      </c>
      <c r="D17" s="8" t="n">
        <v>1990</v>
      </c>
      <c r="E17" s="7"/>
      <c r="F17" s="7"/>
      <c r="G17" s="8"/>
      <c r="H17" s="8"/>
      <c r="I17" s="9" t="n">
        <v>0.0150925925925926</v>
      </c>
      <c r="J17" s="12" t="n">
        <f aca="false">VALUE(SUBSTITUTE($A$11,"miles",""))/(I17*24)</f>
        <v>27.6073619631902</v>
      </c>
    </row>
    <row r="18" customFormat="false" ht="15" hidden="false" customHeight="false" outlineLevel="0" collapsed="false">
      <c r="A18" s="10"/>
      <c r="B18" s="8" t="n">
        <v>50</v>
      </c>
      <c r="C18" s="7" t="s">
        <v>16</v>
      </c>
      <c r="D18" s="8" t="n">
        <v>1986</v>
      </c>
      <c r="E18" s="7"/>
      <c r="F18" s="7"/>
      <c r="G18" s="8"/>
      <c r="H18" s="8"/>
      <c r="I18" s="9" t="n">
        <v>0.0155902777777778</v>
      </c>
      <c r="J18" s="12" t="n">
        <f aca="false">VALUE(SUBSTITUTE($A$11,"miles",""))/(I18*24)</f>
        <v>26.7260579064588</v>
      </c>
    </row>
    <row r="19" customFormat="false" ht="15" hidden="false" customHeight="false" outlineLevel="0" collapsed="false">
      <c r="A19" s="10"/>
      <c r="B19" s="8" t="n">
        <v>50</v>
      </c>
      <c r="C19" s="7" t="s">
        <v>16</v>
      </c>
      <c r="D19" s="8" t="n">
        <v>1985</v>
      </c>
      <c r="E19" s="7"/>
      <c r="F19" s="7"/>
      <c r="G19" s="8"/>
      <c r="H19" s="8"/>
      <c r="I19" s="9" t="n">
        <v>0.0163078703703704</v>
      </c>
      <c r="J19" s="12" t="n">
        <f aca="false">VALUE(SUBSTITUTE($A$11,"miles",""))/(I19*24)</f>
        <v>25.5500354861604</v>
      </c>
    </row>
    <row r="20" customFormat="false" ht="15" hidden="false" customHeight="false" outlineLevel="0" collapsed="false">
      <c r="A20" s="10"/>
      <c r="B20" s="8" t="n">
        <v>51</v>
      </c>
      <c r="C20" s="7" t="s">
        <v>15</v>
      </c>
      <c r="D20" s="8" t="n">
        <v>1991</v>
      </c>
      <c r="E20" s="7"/>
      <c r="F20" s="7"/>
      <c r="G20" s="8"/>
      <c r="H20" s="8"/>
      <c r="I20" s="9" t="n">
        <v>0.0144328703703704</v>
      </c>
      <c r="J20" s="12" t="n">
        <f aca="false">VALUE(SUBSTITUTE($A$11,"miles",""))/(I20*24)</f>
        <v>28.869286287089</v>
      </c>
    </row>
    <row r="21" customFormat="false" ht="15" hidden="false" customHeight="false" outlineLevel="0" collapsed="false">
      <c r="A21" s="10"/>
      <c r="B21" s="8" t="n">
        <v>51</v>
      </c>
      <c r="C21" s="7" t="s">
        <v>16</v>
      </c>
      <c r="D21" s="8" t="n">
        <v>1987</v>
      </c>
      <c r="E21" s="7"/>
      <c r="F21" s="7"/>
      <c r="G21" s="8"/>
      <c r="H21" s="8"/>
      <c r="I21" s="9" t="n">
        <v>0.0155208333333333</v>
      </c>
      <c r="J21" s="12" t="n">
        <f aca="false">VALUE(SUBSTITUTE($A$11,"miles",""))/(I21*24)</f>
        <v>26.8456375838927</v>
      </c>
    </row>
    <row r="22" customFormat="false" ht="15" hidden="false" customHeight="false" outlineLevel="0" collapsed="false">
      <c r="A22" s="10"/>
      <c r="B22" s="8" t="n">
        <v>51</v>
      </c>
      <c r="C22" s="7" t="s">
        <v>16</v>
      </c>
      <c r="D22" s="8" t="n">
        <v>1986</v>
      </c>
      <c r="E22" s="7"/>
      <c r="F22" s="7"/>
      <c r="G22" s="8"/>
      <c r="H22" s="8"/>
      <c r="I22" s="9" t="n">
        <v>0.0159027777777778</v>
      </c>
      <c r="J22" s="12" t="n">
        <f aca="false">VALUE(SUBSTITUTE($A$11,"miles",""))/(I22*24)</f>
        <v>26.2008733624454</v>
      </c>
    </row>
    <row r="23" customFormat="false" ht="15" hidden="false" customHeight="false" outlineLevel="0" collapsed="false">
      <c r="A23" s="10"/>
      <c r="B23" s="8" t="n">
        <v>52</v>
      </c>
      <c r="C23" s="7" t="s">
        <v>15</v>
      </c>
      <c r="D23" s="8" t="n">
        <v>1992</v>
      </c>
      <c r="E23" s="7"/>
      <c r="F23" s="7"/>
      <c r="G23" s="8"/>
      <c r="H23" s="8"/>
      <c r="I23" s="9" t="n">
        <v>0.0147916666666667</v>
      </c>
      <c r="J23" s="12" t="n">
        <f aca="false">VALUE(SUBSTITUTE($A$11,"miles",""))/(I23*24)</f>
        <v>28.169014084507</v>
      </c>
    </row>
    <row r="24" customFormat="false" ht="15" hidden="false" customHeight="false" outlineLevel="0" collapsed="false">
      <c r="A24" s="10"/>
      <c r="B24" s="8" t="n">
        <v>53</v>
      </c>
      <c r="C24" s="7" t="s">
        <v>16</v>
      </c>
      <c r="D24" s="8" t="n">
        <v>1989</v>
      </c>
      <c r="E24" s="7"/>
      <c r="F24" s="7"/>
      <c r="G24" s="8"/>
      <c r="H24" s="8"/>
      <c r="I24" s="9" t="n">
        <v>0.0155439814814815</v>
      </c>
      <c r="J24" s="12" t="n">
        <f aca="false">VALUE(SUBSTITUTE($A$11,"miles",""))/(I24*24)</f>
        <v>26.8056589724497</v>
      </c>
    </row>
    <row r="25" customFormat="false" ht="15" hidden="false" customHeight="false" outlineLevel="0" collapsed="false">
      <c r="A25" s="10"/>
      <c r="B25" s="8" t="n">
        <v>53</v>
      </c>
      <c r="C25" s="7" t="s">
        <v>16</v>
      </c>
      <c r="D25" s="8" t="n">
        <v>1988</v>
      </c>
      <c r="E25" s="7"/>
      <c r="F25" s="7"/>
      <c r="G25" s="8"/>
      <c r="H25" s="8"/>
      <c r="I25" s="9" t="n">
        <v>0.0157175925925926</v>
      </c>
      <c r="J25" s="12" t="n">
        <f aca="false">VALUE(SUBSTITUTE($A$11,"miles",""))/(I25*24)</f>
        <v>26.5095729013255</v>
      </c>
    </row>
    <row r="26" customFormat="false" ht="15" hidden="false" customHeight="false" outlineLevel="0" collapsed="false">
      <c r="A26" s="10"/>
      <c r="B26" s="8" t="n">
        <v>54</v>
      </c>
      <c r="C26" s="7" t="s">
        <v>13</v>
      </c>
      <c r="D26" s="8" t="s">
        <v>17</v>
      </c>
      <c r="E26" s="7" t="s">
        <v>18</v>
      </c>
      <c r="F26" s="7"/>
      <c r="G26" s="8"/>
      <c r="H26" s="8" t="s">
        <v>19</v>
      </c>
      <c r="I26" s="9" t="n">
        <v>0.0136342592592593</v>
      </c>
      <c r="J26" s="12" t="n">
        <f aca="false">VALUE(SUBSTITUTE($A$11,"miles",""))/(I26*24)</f>
        <v>30.560271646859</v>
      </c>
    </row>
    <row r="27" customFormat="false" ht="15" hidden="false" customHeight="false" outlineLevel="0" collapsed="false">
      <c r="A27" s="10"/>
      <c r="B27" s="8" t="n">
        <v>54</v>
      </c>
      <c r="C27" s="7" t="s">
        <v>13</v>
      </c>
      <c r="D27" s="8" t="n">
        <v>2006</v>
      </c>
      <c r="E27" s="7"/>
      <c r="F27" s="7"/>
      <c r="G27" s="8"/>
      <c r="H27" s="8"/>
      <c r="I27" s="9" t="n">
        <v>0.0145486111111111</v>
      </c>
      <c r="J27" s="12" t="n">
        <f aca="false">VALUE(SUBSTITUTE($A$11,"miles",""))/(I27*24)</f>
        <v>28.6396181384248</v>
      </c>
    </row>
    <row r="28" customFormat="false" ht="15" hidden="false" customHeight="false" outlineLevel="0" collapsed="false">
      <c r="A28" s="7"/>
      <c r="B28" s="8" t="n">
        <v>54</v>
      </c>
      <c r="C28" s="7" t="s">
        <v>16</v>
      </c>
      <c r="D28" s="8" t="n">
        <v>1990</v>
      </c>
      <c r="E28" s="7"/>
      <c r="F28" s="7"/>
      <c r="G28" s="8"/>
      <c r="H28" s="8"/>
      <c r="I28" s="9" t="n">
        <v>0.0158680555555556</v>
      </c>
      <c r="J28" s="12" t="n">
        <f aca="false">VALUE(SUBSTITUTE($A$11,"miles",""))/(I28*24)</f>
        <v>26.2582056892778</v>
      </c>
    </row>
    <row r="29" customFormat="false" ht="15" hidden="false" customHeight="false" outlineLevel="0" collapsed="false">
      <c r="A29" s="7"/>
      <c r="B29" s="8" t="n">
        <v>55</v>
      </c>
      <c r="C29" s="7" t="s">
        <v>13</v>
      </c>
      <c r="D29" s="8" t="n">
        <v>2007</v>
      </c>
      <c r="E29" s="7"/>
      <c r="F29" s="7"/>
      <c r="G29" s="8"/>
      <c r="H29" s="8" t="s">
        <v>19</v>
      </c>
      <c r="I29" s="9" t="n">
        <v>0.0140393518518519</v>
      </c>
      <c r="J29" s="12" t="n">
        <f aca="false">VALUE(SUBSTITUTE($A$11,"miles",""))/(I29*24)</f>
        <v>29.6784830997526</v>
      </c>
    </row>
    <row r="30" customFormat="false" ht="15" hidden="false" customHeight="false" outlineLevel="0" collapsed="false">
      <c r="A30" s="7"/>
      <c r="B30" s="8" t="n">
        <v>55</v>
      </c>
      <c r="C30" s="7" t="s">
        <v>16</v>
      </c>
      <c r="D30" s="8" t="n">
        <v>1991</v>
      </c>
      <c r="E30" s="7"/>
      <c r="F30" s="7"/>
      <c r="G30" s="8"/>
      <c r="H30" s="8"/>
      <c r="I30" s="9" t="n">
        <v>0.0151273148148148</v>
      </c>
      <c r="J30" s="12" t="n">
        <f aca="false">VALUE(SUBSTITUTE($A$11,"miles",""))/(I30*24)</f>
        <v>27.5439938791125</v>
      </c>
    </row>
    <row r="31" customFormat="false" ht="15" hidden="false" customHeight="false" outlineLevel="0" collapsed="false">
      <c r="A31" s="7"/>
      <c r="B31" s="8" t="n">
        <v>55</v>
      </c>
      <c r="C31" s="7" t="s">
        <v>16</v>
      </c>
      <c r="D31" s="8" t="n">
        <v>1990</v>
      </c>
      <c r="E31" s="7"/>
      <c r="F31" s="7"/>
      <c r="G31" s="8"/>
      <c r="H31" s="8"/>
      <c r="I31" s="9" t="n">
        <v>0.0165393518518519</v>
      </c>
      <c r="J31" s="12" t="n">
        <f aca="false">VALUE(SUBSTITUTE($A$11,"miles",""))/(I31*24)</f>
        <v>25.1924422673197</v>
      </c>
    </row>
    <row r="32" customFormat="false" ht="15" hidden="false" customHeight="false" outlineLevel="0" collapsed="false">
      <c r="A32" s="7"/>
      <c r="B32" s="13" t="n">
        <v>56</v>
      </c>
      <c r="C32" s="10" t="s">
        <v>20</v>
      </c>
      <c r="D32" s="13" t="s">
        <v>21</v>
      </c>
      <c r="E32" s="10" t="s">
        <v>22</v>
      </c>
      <c r="F32" s="10"/>
      <c r="G32" s="13"/>
      <c r="H32" s="13" t="s">
        <v>19</v>
      </c>
      <c r="I32" s="11" t="n">
        <v>0.0136111111111111</v>
      </c>
      <c r="J32" s="14" t="n">
        <f aca="false">VALUE(SUBSTITUTE($A$11,"miles",""))/(I32*24)</f>
        <v>30.6122448979592</v>
      </c>
    </row>
    <row r="33" customFormat="false" ht="15" hidden="false" customHeight="false" outlineLevel="0" collapsed="false">
      <c r="A33" s="7"/>
      <c r="B33" s="8" t="n">
        <v>56</v>
      </c>
      <c r="C33" s="7" t="s">
        <v>23</v>
      </c>
      <c r="D33" s="8" t="s">
        <v>24</v>
      </c>
      <c r="E33" s="7" t="s">
        <v>25</v>
      </c>
      <c r="F33" s="7"/>
      <c r="G33" s="8"/>
      <c r="H33" s="8" t="s">
        <v>19</v>
      </c>
      <c r="I33" s="9" t="n">
        <v>0.0137268518518519</v>
      </c>
      <c r="J33" s="12" t="n">
        <f aca="false">VALUE(SUBSTITUTE($A$11,"miles",""))/(I33*24)</f>
        <v>30.3541315345699</v>
      </c>
    </row>
    <row r="34" customFormat="false" ht="15" hidden="false" customHeight="false" outlineLevel="0" collapsed="false">
      <c r="A34" s="7"/>
      <c r="B34" s="8" t="n">
        <v>56</v>
      </c>
      <c r="C34" s="7" t="s">
        <v>13</v>
      </c>
      <c r="D34" s="8" t="n">
        <v>2008</v>
      </c>
      <c r="E34" s="7"/>
      <c r="F34" s="7"/>
      <c r="G34" s="8"/>
      <c r="H34" s="8" t="s">
        <v>19</v>
      </c>
      <c r="I34" s="9" t="n">
        <v>0.0139583333333333</v>
      </c>
      <c r="J34" s="12" t="n">
        <f aca="false">VALUE(SUBSTITUTE($A$11,"miles",""))/(I34*24)</f>
        <v>29.8507462686568</v>
      </c>
    </row>
    <row r="35" customFormat="false" ht="15" hidden="false" customHeight="false" outlineLevel="0" collapsed="false">
      <c r="A35" s="7"/>
      <c r="B35" s="13" t="n">
        <v>57</v>
      </c>
      <c r="C35" s="10" t="s">
        <v>26</v>
      </c>
      <c r="D35" s="13" t="s">
        <v>27</v>
      </c>
      <c r="E35" s="10" t="s">
        <v>25</v>
      </c>
      <c r="F35" s="10"/>
      <c r="G35" s="8"/>
      <c r="H35" s="8" t="s">
        <v>19</v>
      </c>
      <c r="I35" s="11" t="n">
        <v>0.0138078703703704</v>
      </c>
      <c r="J35" s="14" t="n">
        <f aca="false">VALUE(SUBSTITUTE($A$11,"miles",""))/(I35*24)</f>
        <v>30.1760268231349</v>
      </c>
    </row>
    <row r="36" customFormat="false" ht="15" hidden="false" customHeight="false" outlineLevel="0" collapsed="false">
      <c r="A36" s="7"/>
      <c r="B36" s="8" t="n">
        <v>57</v>
      </c>
      <c r="C36" s="7" t="s">
        <v>13</v>
      </c>
      <c r="D36" s="8" t="n">
        <v>2009</v>
      </c>
      <c r="E36" s="7"/>
      <c r="F36" s="7"/>
      <c r="G36" s="8"/>
      <c r="H36" s="8" t="s">
        <v>19</v>
      </c>
      <c r="I36" s="9" t="n">
        <v>0.0139699074074074</v>
      </c>
      <c r="J36" s="12" t="n">
        <f aca="false">VALUE(SUBSTITUTE($A$11,"miles",""))/(I36*24)</f>
        <v>29.8260149130075</v>
      </c>
    </row>
    <row r="37" customFormat="false" ht="15" hidden="false" customHeight="false" outlineLevel="0" collapsed="false">
      <c r="A37" s="7"/>
      <c r="B37" s="8" t="n">
        <v>57</v>
      </c>
      <c r="C37" s="7" t="s">
        <v>16</v>
      </c>
      <c r="D37" s="8" t="n">
        <v>1992</v>
      </c>
      <c r="E37" s="7"/>
      <c r="F37" s="7"/>
      <c r="G37" s="8"/>
      <c r="H37" s="8"/>
      <c r="I37" s="9" t="n">
        <v>0.0156828703703704</v>
      </c>
      <c r="J37" s="12" t="n">
        <f aca="false">VALUE(SUBSTITUTE($A$11,"miles",""))/(I37*24)</f>
        <v>26.5682656826568</v>
      </c>
    </row>
    <row r="38" customFormat="false" ht="15" hidden="false" customHeight="false" outlineLevel="0" collapsed="false">
      <c r="A38" s="7"/>
      <c r="B38" s="8" t="n">
        <v>58</v>
      </c>
      <c r="C38" s="7" t="s">
        <v>28</v>
      </c>
      <c r="D38" s="8" t="n">
        <v>1987</v>
      </c>
      <c r="E38" s="7"/>
      <c r="F38" s="7"/>
      <c r="G38" s="8"/>
      <c r="H38" s="8"/>
      <c r="I38" s="9" t="n">
        <v>0.0175578703703704</v>
      </c>
      <c r="J38" s="12" t="n">
        <f aca="false">VALUE(SUBSTITUTE($A$11,"miles",""))/(I38*24)</f>
        <v>23.731048121292</v>
      </c>
    </row>
    <row r="39" customFormat="false" ht="15" hidden="false" customHeight="false" outlineLevel="0" collapsed="false">
      <c r="A39" s="7"/>
      <c r="B39" s="8" t="n">
        <v>58</v>
      </c>
      <c r="C39" s="7" t="s">
        <v>29</v>
      </c>
      <c r="D39" s="8" t="n">
        <v>1979</v>
      </c>
      <c r="E39" s="7"/>
      <c r="F39" s="7"/>
      <c r="G39" s="8"/>
      <c r="H39" s="8"/>
      <c r="I39" s="9" t="n">
        <v>0.0182986111111111</v>
      </c>
      <c r="J39" s="12" t="n">
        <f aca="false">VALUE(SUBSTITUTE($A$11,"miles",""))/(I39*24)</f>
        <v>22.7703984819734</v>
      </c>
    </row>
    <row r="40" customFormat="false" ht="15" hidden="false" customHeight="false" outlineLevel="0" collapsed="false">
      <c r="A40" s="7"/>
      <c r="B40" s="8" t="n">
        <v>59</v>
      </c>
      <c r="C40" s="7" t="s">
        <v>28</v>
      </c>
      <c r="D40" s="8" t="n">
        <v>1988</v>
      </c>
      <c r="E40" s="7"/>
      <c r="F40" s="7"/>
      <c r="G40" s="8"/>
      <c r="H40" s="8"/>
      <c r="I40" s="9" t="n">
        <v>0.0178125</v>
      </c>
      <c r="J40" s="12" t="n">
        <f aca="false">VALUE(SUBSTITUTE($A$11,"miles",""))/(I40*24)</f>
        <v>23.3918128654971</v>
      </c>
    </row>
    <row r="41" customFormat="false" ht="15" hidden="false" customHeight="false" outlineLevel="0" collapsed="false">
      <c r="A41" s="7"/>
      <c r="B41" s="8" t="n">
        <v>60</v>
      </c>
      <c r="C41" s="7" t="s">
        <v>29</v>
      </c>
      <c r="D41" s="8" t="n">
        <v>1981</v>
      </c>
      <c r="E41" s="7"/>
      <c r="F41" s="7"/>
      <c r="G41" s="8"/>
      <c r="H41" s="8"/>
      <c r="I41" s="9" t="n">
        <v>0.0186226851851852</v>
      </c>
      <c r="J41" s="12" t="n">
        <f aca="false">VALUE(SUBSTITUTE($A$11,"miles",""))/(I41*24)</f>
        <v>22.3741454319453</v>
      </c>
    </row>
    <row r="42" customFormat="false" ht="15" hidden="false" customHeight="false" outlineLevel="0" collapsed="false">
      <c r="A42" s="7"/>
      <c r="B42" s="8" t="n">
        <v>61</v>
      </c>
      <c r="C42" s="7" t="s">
        <v>28</v>
      </c>
      <c r="D42" s="8" t="n">
        <v>1990</v>
      </c>
      <c r="E42" s="7"/>
      <c r="F42" s="7"/>
      <c r="G42" s="8"/>
      <c r="H42" s="8"/>
      <c r="I42" s="9" t="n">
        <v>0.0181712962962963</v>
      </c>
      <c r="J42" s="12" t="n">
        <f aca="false">VALUE(SUBSTITUTE($A$11,"miles",""))/(I42*24)</f>
        <v>22.9299363057325</v>
      </c>
    </row>
    <row r="43" customFormat="false" ht="15" hidden="false" customHeight="false" outlineLevel="0" collapsed="false">
      <c r="A43" s="7"/>
      <c r="B43" s="8" t="n">
        <v>61</v>
      </c>
      <c r="C43" s="7" t="s">
        <v>29</v>
      </c>
      <c r="D43" s="8" t="n">
        <v>1982</v>
      </c>
      <c r="E43" s="7"/>
      <c r="F43" s="7"/>
      <c r="G43" s="8"/>
      <c r="H43" s="8"/>
      <c r="I43" s="9" t="n">
        <v>0.0183680555555556</v>
      </c>
      <c r="J43" s="12" t="n">
        <f aca="false">VALUE(SUBSTITUTE($A$11,"miles",""))/(I43*24)</f>
        <v>22.6843100189035</v>
      </c>
    </row>
    <row r="44" customFormat="false" ht="15" hidden="false" customHeight="false" outlineLevel="0" collapsed="false">
      <c r="A44" s="7"/>
      <c r="B44" s="13" t="n">
        <v>61</v>
      </c>
      <c r="C44" s="10" t="s">
        <v>20</v>
      </c>
      <c r="D44" s="13" t="s">
        <v>30</v>
      </c>
      <c r="E44" s="10" t="s">
        <v>11</v>
      </c>
      <c r="F44" s="10"/>
      <c r="G44" s="13"/>
      <c r="H44" s="13"/>
      <c r="I44" s="11" t="n">
        <v>0.0137847222222222</v>
      </c>
      <c r="J44" s="14" t="n">
        <f aca="false">VALUE(SUBSTITUTE($A$11,"miles",""))/(I44*24)</f>
        <v>30.2267002518892</v>
      </c>
    </row>
    <row r="45" customFormat="false" ht="15" hidden="false" customHeight="false" outlineLevel="0" collapsed="false">
      <c r="A45" s="7"/>
      <c r="B45" s="13" t="n">
        <v>62</v>
      </c>
      <c r="C45" s="10" t="s">
        <v>13</v>
      </c>
      <c r="D45" s="13" t="s">
        <v>31</v>
      </c>
      <c r="E45" s="10" t="s">
        <v>11</v>
      </c>
      <c r="F45" s="10"/>
      <c r="G45" s="8"/>
      <c r="H45" s="8" t="s">
        <v>19</v>
      </c>
      <c r="I45" s="11" t="n">
        <v>0.0139467592592593</v>
      </c>
      <c r="J45" s="14" t="n">
        <f aca="false">VALUE(SUBSTITUTE($A$11,"miles",""))/(I45*24)</f>
        <v>29.8755186721991</v>
      </c>
    </row>
    <row r="46" customFormat="false" ht="15" hidden="false" customHeight="false" outlineLevel="0" collapsed="false">
      <c r="A46" s="7"/>
      <c r="B46" s="8" t="n">
        <v>62</v>
      </c>
      <c r="C46" s="7" t="s">
        <v>32</v>
      </c>
      <c r="D46" s="8" t="n">
        <v>1992</v>
      </c>
      <c r="E46" s="7"/>
      <c r="F46" s="7"/>
      <c r="G46" s="8"/>
      <c r="H46" s="8"/>
      <c r="I46" s="9" t="n">
        <v>0.0154861111111111</v>
      </c>
      <c r="J46" s="12" t="n">
        <f aca="false">VALUE(SUBSTITUTE($A$11,"miles",""))/(I46*24)</f>
        <v>26.9058295964126</v>
      </c>
    </row>
    <row r="47" customFormat="false" ht="15" hidden="false" customHeight="false" outlineLevel="0" collapsed="false">
      <c r="A47" s="7"/>
      <c r="B47" s="8" t="n">
        <v>62</v>
      </c>
      <c r="C47" s="7" t="s">
        <v>29</v>
      </c>
      <c r="D47" s="8" t="n">
        <v>1983</v>
      </c>
      <c r="E47" s="7"/>
      <c r="F47" s="7"/>
      <c r="G47" s="8"/>
      <c r="H47" s="8"/>
      <c r="I47" s="9" t="n">
        <v>0.0194212962962963</v>
      </c>
      <c r="J47" s="12" t="n">
        <f aca="false">VALUE(SUBSTITUTE($A$11,"miles",""))/(I47*24)</f>
        <v>21.4541120381406</v>
      </c>
    </row>
    <row r="48" customFormat="false" ht="15" hidden="false" customHeight="false" outlineLevel="0" collapsed="false">
      <c r="A48" s="7"/>
      <c r="B48" s="8" t="n">
        <v>63</v>
      </c>
      <c r="C48" s="7" t="s">
        <v>33</v>
      </c>
      <c r="D48" s="8" t="s">
        <v>34</v>
      </c>
      <c r="E48" s="7" t="s">
        <v>25</v>
      </c>
      <c r="F48" s="7"/>
      <c r="G48" s="8"/>
      <c r="H48" s="8" t="s">
        <v>19</v>
      </c>
      <c r="I48" s="9" t="n">
        <v>0.0141898148148148</v>
      </c>
      <c r="J48" s="12" t="n">
        <f aca="false">VALUE(SUBSTITUTE($A$11,"miles",""))/(I48*24)</f>
        <v>29.3637846655792</v>
      </c>
    </row>
    <row r="49" customFormat="false" ht="15" hidden="false" customHeight="false" outlineLevel="0" collapsed="false">
      <c r="A49" s="7"/>
      <c r="B49" s="8" t="n">
        <v>63</v>
      </c>
      <c r="C49" s="7" t="s">
        <v>13</v>
      </c>
      <c r="D49" s="8" t="s">
        <v>35</v>
      </c>
      <c r="E49" s="7" t="s">
        <v>36</v>
      </c>
      <c r="F49" s="7"/>
      <c r="G49" s="8"/>
      <c r="H49" s="8"/>
      <c r="I49" s="9" t="n">
        <v>0.0143055555555556</v>
      </c>
      <c r="J49" s="12" t="n">
        <f aca="false">VALUE(SUBSTITUTE($A$11,"miles",""))/(I49*24)</f>
        <v>29.1262135922329</v>
      </c>
    </row>
    <row r="50" customFormat="false" ht="15" hidden="false" customHeight="false" outlineLevel="0" collapsed="false">
      <c r="A50" s="7"/>
      <c r="B50" s="8" t="n">
        <v>63</v>
      </c>
      <c r="C50" s="7" t="s">
        <v>32</v>
      </c>
      <c r="D50" s="8" t="n">
        <v>1993</v>
      </c>
      <c r="E50" s="7"/>
      <c r="F50" s="7"/>
      <c r="G50" s="8"/>
      <c r="H50" s="8"/>
      <c r="I50" s="9" t="n">
        <v>0.0161805555555556</v>
      </c>
      <c r="J50" s="12" t="n">
        <f aca="false">VALUE(SUBSTITUTE($A$11,"miles",""))/(I50*24)</f>
        <v>25.7510729613733</v>
      </c>
    </row>
    <row r="51" customFormat="false" ht="15" hidden="false" customHeight="false" outlineLevel="0" collapsed="false">
      <c r="A51" s="7"/>
      <c r="B51" s="8" t="n">
        <v>63</v>
      </c>
      <c r="C51" s="7" t="s">
        <v>28</v>
      </c>
      <c r="D51" s="8" t="n">
        <v>1992</v>
      </c>
      <c r="E51" s="7"/>
      <c r="F51" s="7"/>
      <c r="G51" s="8"/>
      <c r="H51" s="8"/>
      <c r="I51" s="9" t="n">
        <v>0.0179398148148148</v>
      </c>
      <c r="J51" s="12" t="n">
        <f aca="false">VALUE(SUBSTITUTE($A$11,"miles",""))/(I51*24)</f>
        <v>23.2258064516129</v>
      </c>
    </row>
    <row r="52" customFormat="false" ht="15" hidden="false" customHeight="false" outlineLevel="0" collapsed="false">
      <c r="A52" s="7"/>
      <c r="B52" s="8" t="n">
        <v>64</v>
      </c>
      <c r="C52" s="7" t="s">
        <v>33</v>
      </c>
      <c r="D52" s="8" t="s">
        <v>27</v>
      </c>
      <c r="E52" s="7" t="s">
        <v>25</v>
      </c>
      <c r="F52" s="7"/>
      <c r="G52" s="8"/>
      <c r="H52" s="8" t="s">
        <v>19</v>
      </c>
      <c r="I52" s="9" t="n">
        <v>0.014212962962963</v>
      </c>
      <c r="J52" s="12" t="n">
        <f aca="false">VALUE(SUBSTITUTE($A$11,"miles",""))/(I52*24)</f>
        <v>29.315960912052</v>
      </c>
    </row>
    <row r="53" customFormat="false" ht="15" hidden="false" customHeight="false" outlineLevel="0" collapsed="false">
      <c r="A53" s="7"/>
      <c r="B53" s="8" t="n">
        <v>64</v>
      </c>
      <c r="C53" s="7" t="s">
        <v>13</v>
      </c>
      <c r="D53" s="8" t="s">
        <v>37</v>
      </c>
      <c r="E53" s="7" t="s">
        <v>11</v>
      </c>
      <c r="F53" s="7"/>
      <c r="G53" s="8"/>
      <c r="H53" s="8" t="s">
        <v>19</v>
      </c>
      <c r="I53" s="9" t="n">
        <v>0.0142708333333333</v>
      </c>
      <c r="J53" s="12" t="n">
        <f aca="false">VALUE(SUBSTITUTE($A$11,"miles",""))/(I53*24)</f>
        <v>29.1970802919709</v>
      </c>
    </row>
    <row r="54" customFormat="false" ht="15" hidden="false" customHeight="false" outlineLevel="0" collapsed="false">
      <c r="A54" s="7"/>
      <c r="B54" s="8" t="n">
        <v>64</v>
      </c>
      <c r="C54" s="7" t="s">
        <v>32</v>
      </c>
      <c r="D54" s="8" t="n">
        <v>1994</v>
      </c>
      <c r="E54" s="7"/>
      <c r="F54" s="7"/>
      <c r="G54" s="8"/>
      <c r="H54" s="8"/>
      <c r="I54" s="9" t="n">
        <v>0.0160069444444444</v>
      </c>
      <c r="J54" s="12" t="n">
        <f aca="false">VALUE(SUBSTITUTE($A$11,"miles",""))/(I54*24)</f>
        <v>26.0303687635576</v>
      </c>
    </row>
    <row r="55" customFormat="false" ht="15" hidden="false" customHeight="false" outlineLevel="0" collapsed="false">
      <c r="A55" s="7"/>
      <c r="B55" s="13" t="n">
        <v>65</v>
      </c>
      <c r="C55" s="10" t="s">
        <v>33</v>
      </c>
      <c r="D55" s="13" t="s">
        <v>38</v>
      </c>
      <c r="E55" s="10" t="s">
        <v>22</v>
      </c>
      <c r="F55" s="10"/>
      <c r="G55" s="13"/>
      <c r="H55" s="13" t="s">
        <v>39</v>
      </c>
      <c r="I55" s="11" t="n">
        <v>0.0139583333333333</v>
      </c>
      <c r="J55" s="14" t="n">
        <f aca="false">VALUE(SUBSTITUTE($A$11,"miles",""))/(I55*24)</f>
        <v>29.8507462686568</v>
      </c>
    </row>
    <row r="56" customFormat="false" ht="15" hidden="false" customHeight="false" outlineLevel="0" collapsed="false">
      <c r="A56" s="7"/>
      <c r="B56" s="8" t="n">
        <v>65</v>
      </c>
      <c r="C56" s="7" t="s">
        <v>33</v>
      </c>
      <c r="D56" s="8" t="s">
        <v>40</v>
      </c>
      <c r="E56" s="7" t="s">
        <v>11</v>
      </c>
      <c r="F56" s="7"/>
      <c r="G56" s="8"/>
      <c r="H56" s="8" t="s">
        <v>19</v>
      </c>
      <c r="I56" s="9" t="n">
        <v>0.0140046296296296</v>
      </c>
      <c r="J56" s="12" t="n">
        <f aca="false">VALUE(SUBSTITUTE($A$11,"miles",""))/(I56*24)</f>
        <v>29.7520661157025</v>
      </c>
    </row>
    <row r="57" customFormat="false" ht="15" hidden="false" customHeight="false" outlineLevel="0" collapsed="false">
      <c r="A57" s="7"/>
      <c r="B57" s="8" t="n">
        <v>65</v>
      </c>
      <c r="C57" s="7" t="s">
        <v>13</v>
      </c>
      <c r="D57" s="8" t="s">
        <v>41</v>
      </c>
      <c r="E57" s="7" t="s">
        <v>11</v>
      </c>
      <c r="F57" s="7"/>
      <c r="G57" s="8"/>
      <c r="H57" s="8" t="s">
        <v>19</v>
      </c>
      <c r="I57" s="9" t="n">
        <v>0.0145601851851852</v>
      </c>
      <c r="J57" s="12" t="n">
        <f aca="false">VALUE(SUBSTITUTE($A$11,"miles",""))/(I57*24)</f>
        <v>28.6168521462639</v>
      </c>
    </row>
    <row r="58" customFormat="false" ht="15" hidden="false" customHeight="false" outlineLevel="0" collapsed="false">
      <c r="A58" s="7"/>
      <c r="B58" s="13" t="n">
        <v>66</v>
      </c>
      <c r="C58" s="10" t="s">
        <v>33</v>
      </c>
      <c r="D58" s="13" t="s">
        <v>42</v>
      </c>
      <c r="E58" s="10" t="s">
        <v>22</v>
      </c>
      <c r="F58" s="10"/>
      <c r="G58" s="13" t="s">
        <v>43</v>
      </c>
      <c r="H58" s="13" t="s">
        <v>39</v>
      </c>
      <c r="I58" s="11" t="n">
        <v>0.0139814814814815</v>
      </c>
      <c r="J58" s="14" t="n">
        <f aca="false">VALUE(SUBSTITUTE($A$11,"miles",""))/(I58*24)</f>
        <v>29.8013245033112</v>
      </c>
    </row>
    <row r="59" customFormat="false" ht="15" hidden="false" customHeight="false" outlineLevel="0" collapsed="false">
      <c r="A59" s="7"/>
      <c r="B59" s="8" t="n">
        <v>66</v>
      </c>
      <c r="C59" s="7" t="s">
        <v>13</v>
      </c>
      <c r="D59" s="8" t="s">
        <v>44</v>
      </c>
      <c r="E59" s="7" t="s">
        <v>11</v>
      </c>
      <c r="F59" s="7"/>
      <c r="G59" s="8"/>
      <c r="H59" s="8" t="s">
        <v>39</v>
      </c>
      <c r="I59" s="9" t="n">
        <v>0.0144560185185185</v>
      </c>
      <c r="J59" s="12" t="n">
        <f aca="false">VALUE(SUBSTITUTE($A$11,"miles",""))/(I59*24)</f>
        <v>28.8230584467574</v>
      </c>
    </row>
    <row r="60" customFormat="false" ht="15" hidden="false" customHeight="false" outlineLevel="0" collapsed="false">
      <c r="A60" s="7"/>
      <c r="B60" s="8" t="n">
        <v>66</v>
      </c>
      <c r="C60" s="7" t="s">
        <v>13</v>
      </c>
      <c r="D60" s="8" t="s">
        <v>45</v>
      </c>
      <c r="E60" s="7" t="s">
        <v>11</v>
      </c>
      <c r="F60" s="7"/>
      <c r="G60" s="8"/>
      <c r="H60" s="8" t="s">
        <v>19</v>
      </c>
      <c r="I60" s="9" t="n">
        <v>0.0144675925925926</v>
      </c>
      <c r="J60" s="12" t="n">
        <f aca="false">VALUE(SUBSTITUTE($A$11,"miles",""))/(I60*24)</f>
        <v>28.8</v>
      </c>
    </row>
    <row r="61" customFormat="false" ht="15" hidden="false" customHeight="false" outlineLevel="0" collapsed="false">
      <c r="A61" s="7"/>
      <c r="B61" s="8" t="n">
        <v>66</v>
      </c>
      <c r="C61" s="7" t="s">
        <v>46</v>
      </c>
      <c r="D61" s="8" t="s">
        <v>47</v>
      </c>
      <c r="E61" s="7" t="s">
        <v>22</v>
      </c>
      <c r="F61" s="7"/>
      <c r="G61" s="8"/>
      <c r="H61" s="8"/>
      <c r="I61" s="9" t="n">
        <v>0.0150462962962963</v>
      </c>
      <c r="J61" s="12" t="n">
        <f aca="false">VALUE(SUBSTITUTE($A$11,"miles",""))/(I61*24)</f>
        <v>27.6923076923077</v>
      </c>
    </row>
    <row r="62" customFormat="false" ht="15" hidden="false" customHeight="false" outlineLevel="0" collapsed="false">
      <c r="A62" s="7"/>
      <c r="B62" s="8" t="n">
        <v>66</v>
      </c>
      <c r="C62" s="7" t="s">
        <v>32</v>
      </c>
      <c r="D62" s="8" t="n">
        <v>1996</v>
      </c>
      <c r="E62" s="7"/>
      <c r="F62" s="7"/>
      <c r="G62" s="8"/>
      <c r="H62" s="8"/>
      <c r="I62" s="9" t="n">
        <v>0.0158680555555556</v>
      </c>
      <c r="J62" s="12" t="n">
        <f aca="false">VALUE(SUBSTITUTE($A$11,"miles",""))/(I62*24)</f>
        <v>26.2582056892778</v>
      </c>
    </row>
    <row r="63" customFormat="false" ht="15" hidden="false" customHeight="false" outlineLevel="0" collapsed="false">
      <c r="A63" s="7"/>
      <c r="B63" s="8" t="n">
        <v>66</v>
      </c>
      <c r="C63" s="7" t="s">
        <v>48</v>
      </c>
      <c r="D63" s="8" t="n">
        <v>1993</v>
      </c>
      <c r="E63" s="7"/>
      <c r="F63" s="7"/>
      <c r="G63" s="8"/>
      <c r="H63" s="8"/>
      <c r="I63" s="9" t="n">
        <v>0.0161921296296296</v>
      </c>
      <c r="J63" s="12" t="n">
        <f aca="false">VALUE(SUBSTITUTE($A$11,"miles",""))/(I63*24)</f>
        <v>25.7326661901359</v>
      </c>
    </row>
    <row r="64" customFormat="false" ht="15" hidden="false" customHeight="false" outlineLevel="0" collapsed="false">
      <c r="A64" s="7"/>
      <c r="B64" s="15" t="n">
        <v>68</v>
      </c>
      <c r="C64" s="10" t="s">
        <v>33</v>
      </c>
      <c r="D64" s="13" t="s">
        <v>49</v>
      </c>
      <c r="E64" s="10" t="s">
        <v>22</v>
      </c>
      <c r="F64" s="10"/>
      <c r="G64" s="13" t="s">
        <v>43</v>
      </c>
      <c r="H64" s="13" t="s">
        <v>39</v>
      </c>
      <c r="I64" s="11" t="n">
        <v>0.0140625</v>
      </c>
      <c r="J64" s="14" t="n">
        <f aca="false">VALUE(SUBSTITUTE($A$11,"miles",""))/(I64*24)</f>
        <v>29.6296296296296</v>
      </c>
    </row>
    <row r="65" customFormat="false" ht="15" hidden="false" customHeight="false" outlineLevel="0" collapsed="false">
      <c r="A65" s="7"/>
      <c r="B65" s="8" t="n">
        <v>68</v>
      </c>
      <c r="C65" s="7" t="s">
        <v>33</v>
      </c>
      <c r="D65" s="8" t="s">
        <v>50</v>
      </c>
      <c r="E65" s="7" t="s">
        <v>11</v>
      </c>
      <c r="F65" s="7"/>
      <c r="G65" s="8" t="s">
        <v>14</v>
      </c>
      <c r="H65" s="8" t="s">
        <v>19</v>
      </c>
      <c r="I65" s="9" t="n">
        <v>0.0140740740740741</v>
      </c>
      <c r="J65" s="12" t="n">
        <f aca="false">VALUE(SUBSTITUTE($A$11,"miles",""))/(I65*24)</f>
        <v>29.6052631578947</v>
      </c>
    </row>
    <row r="66" customFormat="false" ht="15" hidden="false" customHeight="false" outlineLevel="0" collapsed="false">
      <c r="A66" s="7"/>
      <c r="B66" s="8" t="n">
        <v>68</v>
      </c>
      <c r="C66" s="7" t="s">
        <v>33</v>
      </c>
      <c r="D66" s="8" t="s">
        <v>51</v>
      </c>
      <c r="E66" s="7" t="s">
        <v>11</v>
      </c>
      <c r="F66" s="7"/>
      <c r="G66" s="8"/>
      <c r="H66" s="8" t="s">
        <v>19</v>
      </c>
      <c r="I66" s="9" t="n">
        <v>0.0141666666666667</v>
      </c>
      <c r="J66" s="12" t="n">
        <f aca="false">VALUE(SUBSTITUTE($A$11,"miles",""))/(I66*24)</f>
        <v>29.4117647058823</v>
      </c>
    </row>
    <row r="67" customFormat="false" ht="15" hidden="false" customHeight="false" outlineLevel="0" collapsed="false">
      <c r="A67" s="7"/>
      <c r="B67" s="8" t="n">
        <v>68</v>
      </c>
      <c r="C67" s="7" t="s">
        <v>33</v>
      </c>
      <c r="D67" s="8" t="s">
        <v>52</v>
      </c>
      <c r="E67" s="7" t="s">
        <v>22</v>
      </c>
      <c r="F67" s="7"/>
      <c r="G67" s="8"/>
      <c r="H67" s="8" t="s">
        <v>19</v>
      </c>
      <c r="I67" s="9" t="n">
        <v>0.0144791666666667</v>
      </c>
      <c r="J67" s="12" t="n">
        <f aca="false">VALUE(SUBSTITUTE($A$11,"miles",""))/(I67*24)</f>
        <v>28.7769784172661</v>
      </c>
    </row>
    <row r="68" customFormat="false" ht="15" hidden="false" customHeight="false" outlineLevel="0" collapsed="false">
      <c r="A68" s="7"/>
      <c r="B68" s="13" t="n">
        <v>69</v>
      </c>
      <c r="C68" s="10" t="s">
        <v>46</v>
      </c>
      <c r="D68" s="13" t="s">
        <v>53</v>
      </c>
      <c r="E68" s="10" t="s">
        <v>25</v>
      </c>
      <c r="F68" s="10"/>
      <c r="G68" s="13"/>
      <c r="H68" s="13" t="s">
        <v>39</v>
      </c>
      <c r="I68" s="11" t="n">
        <v>0.0146064814814815</v>
      </c>
      <c r="J68" s="14" t="n">
        <f aca="false">VALUE(SUBSTITUTE($A$11,"miles",""))/(I68*24)</f>
        <v>28.526148969889</v>
      </c>
    </row>
    <row r="69" customFormat="false" ht="15" hidden="false" customHeight="false" outlineLevel="0" collapsed="false">
      <c r="A69" s="7"/>
      <c r="B69" s="8" t="n">
        <v>69</v>
      </c>
      <c r="C69" s="7" t="s">
        <v>48</v>
      </c>
      <c r="D69" s="8" t="n">
        <v>1996</v>
      </c>
      <c r="E69" s="7"/>
      <c r="F69" s="7"/>
      <c r="G69" s="8"/>
      <c r="H69" s="8"/>
      <c r="I69" s="9" t="n">
        <v>0.0163425925925926</v>
      </c>
      <c r="J69" s="12" t="n">
        <f aca="false">VALUE(SUBSTITUTE($A$11,"miles",""))/(I69*24)</f>
        <v>25.4957507082153</v>
      </c>
    </row>
    <row r="70" customFormat="false" ht="15" hidden="false" customHeight="false" outlineLevel="0" collapsed="false">
      <c r="A70" s="7"/>
      <c r="B70" s="8" t="n">
        <v>70</v>
      </c>
      <c r="C70" s="7" t="s">
        <v>46</v>
      </c>
      <c r="D70" s="8" t="s">
        <v>54</v>
      </c>
      <c r="E70" s="7" t="s">
        <v>22</v>
      </c>
      <c r="F70" s="7"/>
      <c r="G70" s="8"/>
      <c r="H70" s="8" t="s">
        <v>19</v>
      </c>
      <c r="I70" s="9" t="n">
        <v>0.0150694444444444</v>
      </c>
      <c r="J70" s="12" t="n">
        <f aca="false">VALUE(SUBSTITUTE($A$11,"miles",""))/(I70*24)</f>
        <v>27.6497695852535</v>
      </c>
    </row>
    <row r="71" customFormat="false" ht="15" hidden="false" customHeight="false" outlineLevel="0" collapsed="false">
      <c r="A71" s="7"/>
      <c r="B71" s="13" t="n">
        <v>70</v>
      </c>
      <c r="C71" s="10" t="s">
        <v>33</v>
      </c>
      <c r="D71" s="13" t="s">
        <v>55</v>
      </c>
      <c r="E71" s="10" t="s">
        <v>22</v>
      </c>
      <c r="F71" s="10"/>
      <c r="G71" s="13"/>
      <c r="H71" s="13" t="s">
        <v>39</v>
      </c>
      <c r="I71" s="11" t="n">
        <v>0.014849537037037</v>
      </c>
      <c r="J71" s="14" t="n">
        <f aca="false">VALUE(SUBSTITUTE($A$11,"miles",""))/(I71*24)</f>
        <v>28.0592361652377</v>
      </c>
    </row>
    <row r="72" customFormat="false" ht="15" hidden="false" customHeight="false" outlineLevel="0" collapsed="false">
      <c r="A72" s="7"/>
      <c r="B72" s="13" t="n">
        <v>71</v>
      </c>
      <c r="C72" s="10" t="s">
        <v>46</v>
      </c>
      <c r="D72" s="13" t="s">
        <v>42</v>
      </c>
      <c r="E72" s="10" t="s">
        <v>22</v>
      </c>
      <c r="F72" s="10"/>
      <c r="G72" s="8"/>
      <c r="H72" s="8"/>
      <c r="I72" s="11" t="n">
        <v>0.0150925925925926</v>
      </c>
      <c r="J72" s="14" t="n">
        <f aca="false">VALUE(SUBSTITUTE($A$11,"miles",""))/(I72*24)</f>
        <v>27.6073619631902</v>
      </c>
    </row>
    <row r="73" customFormat="false" ht="15" hidden="false" customHeight="false" outlineLevel="0" collapsed="false">
      <c r="A73" s="7"/>
      <c r="B73" s="8" t="n">
        <v>71</v>
      </c>
      <c r="C73" s="7" t="s">
        <v>56</v>
      </c>
      <c r="D73" s="8" t="n">
        <v>2001</v>
      </c>
      <c r="E73" s="7"/>
      <c r="F73" s="7"/>
      <c r="G73" s="8"/>
      <c r="H73" s="8"/>
      <c r="I73" s="9" t="n">
        <v>0.0166319444444444</v>
      </c>
      <c r="J73" s="12" t="n">
        <f aca="false">VALUE(SUBSTITUTE($A$11,"miles",""))/(I73*24)</f>
        <v>25.0521920668059</v>
      </c>
    </row>
    <row r="74" customFormat="false" ht="15" hidden="false" customHeight="false" outlineLevel="0" collapsed="false">
      <c r="A74" s="7"/>
      <c r="B74" s="13" t="n">
        <v>73</v>
      </c>
      <c r="C74" s="10" t="s">
        <v>46</v>
      </c>
      <c r="D74" s="13" t="s">
        <v>57</v>
      </c>
      <c r="E74" s="10" t="s">
        <v>11</v>
      </c>
      <c r="F74" s="10"/>
      <c r="G74" s="8"/>
      <c r="H74" s="8"/>
      <c r="I74" s="11" t="n">
        <v>0.015462962962963</v>
      </c>
      <c r="J74" s="14" t="n">
        <f aca="false">VALUE(SUBSTITUTE($A$11,"miles",""))/(I74*24)</f>
        <v>26.9461077844311</v>
      </c>
    </row>
    <row r="75" customFormat="false" ht="15" hidden="false" customHeight="false" outlineLevel="0" collapsed="false">
      <c r="A75" s="7"/>
      <c r="B75" s="8" t="n">
        <v>73</v>
      </c>
      <c r="C75" s="7" t="s">
        <v>56</v>
      </c>
      <c r="D75" s="8" t="s">
        <v>58</v>
      </c>
      <c r="E75" s="7" t="s">
        <v>11</v>
      </c>
      <c r="F75" s="7"/>
      <c r="G75" s="8"/>
      <c r="H75" s="8"/>
      <c r="I75" s="9" t="n">
        <v>0.0163425925925926</v>
      </c>
      <c r="J75" s="12" t="n">
        <f aca="false">VALUE(SUBSTITUTE($A$11,"miles",""))/(I75*24)</f>
        <v>25.4957507082153</v>
      </c>
    </row>
    <row r="76" customFormat="false" ht="15" hidden="false" customHeight="false" outlineLevel="0" collapsed="false">
      <c r="A76" s="7"/>
      <c r="B76" s="8" t="n">
        <v>74</v>
      </c>
      <c r="C76" s="7" t="s">
        <v>46</v>
      </c>
      <c r="D76" s="8" t="s">
        <v>59</v>
      </c>
      <c r="E76" s="7" t="s">
        <v>11</v>
      </c>
      <c r="F76" s="7"/>
      <c r="G76" s="8"/>
      <c r="H76" s="8"/>
      <c r="I76" s="9" t="n">
        <v>0.0155439814814815</v>
      </c>
      <c r="J76" s="12" t="n">
        <f aca="false">VALUE(SUBSTITUTE($A$11,"miles",""))/(I76*24)</f>
        <v>26.8056589724497</v>
      </c>
    </row>
    <row r="77" customFormat="false" ht="15" hidden="false" customHeight="false" outlineLevel="0" collapsed="false">
      <c r="A77" s="7"/>
      <c r="B77" s="8" t="n">
        <v>75</v>
      </c>
      <c r="C77" s="7" t="s">
        <v>46</v>
      </c>
      <c r="D77" s="8" t="s">
        <v>60</v>
      </c>
      <c r="E77" s="7" t="s">
        <v>36</v>
      </c>
      <c r="F77" s="7"/>
      <c r="G77" s="9"/>
      <c r="H77" s="12" t="s">
        <v>19</v>
      </c>
      <c r="I77" s="9" t="n">
        <v>0.0155324074074074</v>
      </c>
      <c r="J77" s="12" t="n">
        <f aca="false">VALUE(SUBSTITUTE($A$11,"miles",""))/(I77*24)</f>
        <v>26.8256333830104</v>
      </c>
    </row>
    <row r="78" customFormat="false" ht="15" hidden="false" customHeight="false" outlineLevel="0" collapsed="false">
      <c r="A78" s="7"/>
      <c r="B78" s="13" t="n">
        <v>76</v>
      </c>
      <c r="C78" s="10" t="s">
        <v>46</v>
      </c>
      <c r="D78" s="13" t="s">
        <v>61</v>
      </c>
      <c r="E78" s="10" t="s">
        <v>11</v>
      </c>
      <c r="F78" s="10"/>
      <c r="G78" s="11" t="s">
        <v>43</v>
      </c>
      <c r="H78" s="14" t="s">
        <v>39</v>
      </c>
      <c r="I78" s="11" t="n">
        <v>0.015462962962963</v>
      </c>
      <c r="J78" s="14" t="n">
        <f aca="false">VALUE(SUBSTITUTE($A$11,"miles",""))/(I78*24)</f>
        <v>26.9461077844311</v>
      </c>
    </row>
    <row r="79" customFormat="false" ht="15" hidden="false" customHeight="false" outlineLevel="0" collapsed="false">
      <c r="A79" s="10"/>
      <c r="B79" s="8" t="n">
        <v>77</v>
      </c>
      <c r="C79" s="7" t="s">
        <v>56</v>
      </c>
      <c r="D79" s="8" t="n">
        <v>2008</v>
      </c>
      <c r="E79" s="7"/>
      <c r="F79" s="7"/>
      <c r="G79" s="8"/>
      <c r="H79" s="8"/>
      <c r="I79" s="9" t="n">
        <v>0.0169907407407407</v>
      </c>
      <c r="J79" s="12" t="n">
        <f aca="false">VALUE(SUBSTITUTE($A$11,"miles",""))/(I79*24)</f>
        <v>24.5231607629428</v>
      </c>
    </row>
    <row r="80" customFormat="false" ht="15" hidden="false" customHeight="false" outlineLevel="0" collapsed="false">
      <c r="A80" s="10"/>
      <c r="B80" s="13" t="n">
        <v>78</v>
      </c>
      <c r="C80" s="10" t="s">
        <v>56</v>
      </c>
      <c r="D80" s="13" t="s">
        <v>62</v>
      </c>
      <c r="E80" s="10" t="s">
        <v>11</v>
      </c>
      <c r="F80" s="10"/>
      <c r="G80" s="8"/>
      <c r="H80" s="8" t="s">
        <v>19</v>
      </c>
      <c r="I80" s="11" t="n">
        <v>0.0167361111111111</v>
      </c>
      <c r="J80" s="14" t="n">
        <f aca="false">VALUE(SUBSTITUTE($A$11,"miles",""))/(I80*24)</f>
        <v>24.896265560166</v>
      </c>
    </row>
    <row r="81" customFormat="false" ht="15" hidden="false" customHeight="false" outlineLevel="0" collapsed="false">
      <c r="A81" s="10"/>
      <c r="B81" s="13" t="n">
        <v>79</v>
      </c>
      <c r="C81" s="10" t="s">
        <v>56</v>
      </c>
      <c r="D81" s="13" t="s">
        <v>63</v>
      </c>
      <c r="E81" s="10" t="s">
        <v>64</v>
      </c>
      <c r="F81" s="10"/>
      <c r="G81" s="8"/>
      <c r="H81" s="8"/>
      <c r="I81" s="11" t="n">
        <v>0.0170833333333333</v>
      </c>
      <c r="J81" s="14" t="n">
        <f aca="false">VALUE(SUBSTITUTE($A$11,"miles",""))/(I81*24)</f>
        <v>24.3902439024391</v>
      </c>
    </row>
    <row r="82" customFormat="false" ht="15" hidden="false" customHeight="false" outlineLevel="0" collapsed="false">
      <c r="A82" s="10"/>
      <c r="B82" s="13" t="n">
        <v>82</v>
      </c>
      <c r="C82" s="10" t="s">
        <v>56</v>
      </c>
      <c r="D82" s="13" t="s">
        <v>65</v>
      </c>
      <c r="E82" s="10" t="s">
        <v>64</v>
      </c>
      <c r="F82" s="10"/>
      <c r="G82" s="8"/>
      <c r="H82" s="8"/>
      <c r="I82" s="11" t="n">
        <v>0.0175694444444444</v>
      </c>
      <c r="J82" s="14" t="n">
        <f aca="false">VALUE(SUBSTITUTE($A$11,"miles",""))/(I82*24)</f>
        <v>23.7154150197629</v>
      </c>
    </row>
    <row r="83" customFormat="false" ht="9.75" hidden="false" customHeight="true" outlineLevel="0" collapsed="false">
      <c r="A83" s="10"/>
      <c r="B83" s="8"/>
      <c r="C83" s="7"/>
      <c r="D83" s="8"/>
      <c r="E83" s="7"/>
      <c r="F83" s="7"/>
      <c r="G83" s="8"/>
      <c r="H83" s="8"/>
      <c r="I83" s="9"/>
      <c r="J83" s="9"/>
    </row>
    <row r="84" customFormat="false" ht="15.75" hidden="false" customHeight="true" outlineLevel="0" collapsed="false">
      <c r="A84" s="10" t="s">
        <v>66</v>
      </c>
      <c r="B84" s="13" t="n">
        <v>56</v>
      </c>
      <c r="C84" s="10" t="s">
        <v>20</v>
      </c>
      <c r="D84" s="13" t="s">
        <v>67</v>
      </c>
      <c r="E84" s="10" t="s">
        <v>68</v>
      </c>
      <c r="F84" s="10"/>
      <c r="G84" s="8"/>
      <c r="H84" s="8"/>
      <c r="I84" s="11" t="n">
        <v>0.0212037037037037</v>
      </c>
      <c r="J84" s="14" t="n">
        <f aca="false">VALUE(SUBSTITUTE($A$84,"miles",""))/(I84*24)</f>
        <v>29.4759825327511</v>
      </c>
    </row>
    <row r="85" customFormat="false" ht="15" hidden="false" customHeight="false" outlineLevel="0" collapsed="false">
      <c r="A85" s="10"/>
      <c r="B85" s="8" t="n">
        <v>65</v>
      </c>
      <c r="C85" s="7" t="s">
        <v>33</v>
      </c>
      <c r="D85" s="8" t="s">
        <v>45</v>
      </c>
      <c r="E85" s="7" t="s">
        <v>69</v>
      </c>
      <c r="F85" s="7"/>
      <c r="G85" s="8" t="s">
        <v>14</v>
      </c>
      <c r="H85" s="8" t="s">
        <v>19</v>
      </c>
      <c r="I85" s="9" t="n">
        <v>0.0218518518518518</v>
      </c>
      <c r="J85" s="12" t="n">
        <f aca="false">VALUE(SUBSTITUTE($A$84,"miles",""))/(I85*24)</f>
        <v>28.6016949152543</v>
      </c>
      <c r="N85" s="13"/>
      <c r="O85" s="10"/>
      <c r="P85" s="13"/>
      <c r="Q85" s="10"/>
      <c r="R85" s="10"/>
      <c r="S85" s="11"/>
    </row>
    <row r="86" customFormat="false" ht="15" hidden="false" customHeight="false" outlineLevel="0" collapsed="false">
      <c r="A86" s="10"/>
      <c r="B86" s="13" t="n">
        <v>66</v>
      </c>
      <c r="C86" s="10" t="s">
        <v>33</v>
      </c>
      <c r="D86" s="13" t="s">
        <v>70</v>
      </c>
      <c r="E86" s="10" t="s">
        <v>69</v>
      </c>
      <c r="F86" s="10"/>
      <c r="G86" s="13" t="s">
        <v>43</v>
      </c>
      <c r="H86" s="13" t="s">
        <v>39</v>
      </c>
      <c r="I86" s="11" t="n">
        <v>0.0216087962962963</v>
      </c>
      <c r="J86" s="14" t="n">
        <f aca="false">VALUE(SUBSTITUTE($A$84,"miles",""))/(I86*24)</f>
        <v>28.9234065345474</v>
      </c>
    </row>
    <row r="87" customFormat="false" ht="15" hidden="false" customHeight="false" outlineLevel="0" collapsed="false">
      <c r="A87" s="10"/>
      <c r="B87" s="8" t="n">
        <v>66</v>
      </c>
      <c r="C87" s="7" t="s">
        <v>13</v>
      </c>
      <c r="D87" s="8" t="s">
        <v>45</v>
      </c>
      <c r="E87" s="7" t="s">
        <v>69</v>
      </c>
      <c r="F87" s="7"/>
      <c r="G87" s="8"/>
      <c r="H87" s="8" t="s">
        <v>19</v>
      </c>
      <c r="I87" s="9" t="n">
        <v>0.022662037037037</v>
      </c>
      <c r="J87" s="12" t="n">
        <f aca="false">VALUE(SUBSTITUTE($A$84,"miles",""))/(I87*24)</f>
        <v>27.5791624106231</v>
      </c>
    </row>
    <row r="88" customFormat="false" ht="15" hidden="false" customHeight="false" outlineLevel="0" collapsed="false">
      <c r="A88" s="7"/>
      <c r="B88" s="8" t="n">
        <v>67</v>
      </c>
      <c r="C88" s="7" t="s">
        <v>33</v>
      </c>
      <c r="D88" s="8" t="s">
        <v>71</v>
      </c>
      <c r="E88" s="7" t="s">
        <v>69</v>
      </c>
      <c r="F88" s="7"/>
      <c r="G88" s="8"/>
      <c r="H88" s="8" t="s">
        <v>19</v>
      </c>
      <c r="I88" s="9" t="n">
        <v>0.0223148148148148</v>
      </c>
      <c r="J88" s="12" t="n">
        <f aca="false">VALUE(SUBSTITUTE($A$84,"miles",""))/(I88*24)</f>
        <v>28.0082987551867</v>
      </c>
    </row>
    <row r="89" customFormat="false" ht="15" hidden="false" customHeight="false" outlineLevel="0" collapsed="false">
      <c r="A89" s="10"/>
      <c r="B89" s="8" t="n">
        <v>67</v>
      </c>
      <c r="C89" s="7" t="s">
        <v>13</v>
      </c>
      <c r="D89" s="8" t="s">
        <v>70</v>
      </c>
      <c r="E89" s="7" t="s">
        <v>69</v>
      </c>
      <c r="F89" s="7"/>
      <c r="G89" s="8"/>
      <c r="H89" s="8" t="s">
        <v>19</v>
      </c>
      <c r="I89" s="9" t="n">
        <v>0.0225578703703704</v>
      </c>
      <c r="J89" s="12" t="n">
        <f aca="false">VALUE(SUBSTITUTE($A$84,"miles",""))/(I89*24)</f>
        <v>27.7065161621344</v>
      </c>
    </row>
    <row r="90" customFormat="false" ht="15" hidden="false" customHeight="false" outlineLevel="0" collapsed="false">
      <c r="A90" s="10"/>
      <c r="B90" s="13" t="n">
        <v>68</v>
      </c>
      <c r="C90" s="10" t="s">
        <v>33</v>
      </c>
      <c r="D90" s="13" t="s">
        <v>72</v>
      </c>
      <c r="E90" s="10" t="s">
        <v>68</v>
      </c>
      <c r="F90" s="10"/>
      <c r="G90" s="13" t="s">
        <v>43</v>
      </c>
      <c r="H90" s="13" t="s">
        <v>39</v>
      </c>
      <c r="I90" s="11" t="n">
        <v>0.0219444444444444</v>
      </c>
      <c r="J90" s="14" t="n">
        <f aca="false">VALUE(SUBSTITUTE($A$84,"miles",""))/(I90*24)</f>
        <v>28.4810126582279</v>
      </c>
    </row>
    <row r="91" customFormat="false" ht="15" hidden="false" customHeight="false" outlineLevel="0" collapsed="false">
      <c r="A91" s="7"/>
      <c r="B91" s="8" t="n">
        <v>68</v>
      </c>
      <c r="C91" s="7" t="s">
        <v>13</v>
      </c>
      <c r="D91" s="8" t="s">
        <v>71</v>
      </c>
      <c r="E91" s="7" t="s">
        <v>69</v>
      </c>
      <c r="F91" s="7"/>
      <c r="G91" s="8"/>
      <c r="H91" s="8"/>
      <c r="I91" s="9" t="n">
        <v>0.0234722222222222</v>
      </c>
      <c r="J91" s="12" t="n">
        <f aca="false">VALUE(SUBSTITUTE($A$84,"miles",""))/(I91*24)</f>
        <v>26.6272189349113</v>
      </c>
    </row>
    <row r="92" customFormat="false" ht="15" hidden="false" customHeight="false" outlineLevel="0" collapsed="false">
      <c r="A92" s="7"/>
      <c r="B92" s="13" t="n">
        <v>69</v>
      </c>
      <c r="C92" s="10" t="s">
        <v>13</v>
      </c>
      <c r="D92" s="13" t="s">
        <v>72</v>
      </c>
      <c r="E92" s="10" t="s">
        <v>68</v>
      </c>
      <c r="F92" s="10"/>
      <c r="G92" s="13"/>
      <c r="H92" s="13" t="s">
        <v>39</v>
      </c>
      <c r="I92" s="11" t="n">
        <v>0.0227777777777778</v>
      </c>
      <c r="J92" s="14" t="n">
        <f aca="false">VALUE(SUBSTITUTE($A$84,"miles",""))/(I92*24)</f>
        <v>27.4390243902439</v>
      </c>
    </row>
    <row r="93" customFormat="false" ht="15" hidden="false" customHeight="false" outlineLevel="0" collapsed="false">
      <c r="A93" s="10"/>
      <c r="B93" s="13" t="n">
        <v>70</v>
      </c>
      <c r="C93" s="10" t="s">
        <v>46</v>
      </c>
      <c r="D93" s="13" t="s">
        <v>45</v>
      </c>
      <c r="E93" s="10" t="s">
        <v>69</v>
      </c>
      <c r="F93" s="10"/>
      <c r="G93" s="8" t="s">
        <v>14</v>
      </c>
      <c r="H93" s="8" t="s">
        <v>19</v>
      </c>
      <c r="I93" s="11" t="n">
        <v>0.0236111111111111</v>
      </c>
      <c r="J93" s="14" t="n">
        <f aca="false">VALUE(SUBSTITUTE($A$84,"miles",""))/(I93*24)</f>
        <v>26.4705882352941</v>
      </c>
    </row>
    <row r="94" customFormat="false" ht="15" hidden="false" customHeight="false" outlineLevel="0" collapsed="false">
      <c r="A94" s="7"/>
      <c r="B94" s="8" t="n">
        <v>71</v>
      </c>
      <c r="C94" s="7" t="s">
        <v>46</v>
      </c>
      <c r="D94" s="8" t="s">
        <v>73</v>
      </c>
      <c r="E94" s="7" t="s">
        <v>74</v>
      </c>
      <c r="F94" s="7"/>
      <c r="G94" s="8"/>
      <c r="H94" s="8"/>
      <c r="I94" s="9" t="n">
        <v>0.0248148148148148</v>
      </c>
      <c r="J94" s="12" t="n">
        <f aca="false">VALUE(SUBSTITUTE($A$84,"miles",""))/(I94*24)</f>
        <v>25.1865671641791</v>
      </c>
    </row>
    <row r="95" customFormat="false" ht="15" hidden="false" customHeight="false" outlineLevel="0" collapsed="false">
      <c r="A95" s="7"/>
      <c r="B95" s="8" t="n">
        <v>73</v>
      </c>
      <c r="C95" s="7" t="s">
        <v>46</v>
      </c>
      <c r="D95" s="8" t="s">
        <v>75</v>
      </c>
      <c r="E95" s="7" t="s">
        <v>68</v>
      </c>
      <c r="F95" s="7"/>
      <c r="G95" s="8"/>
      <c r="H95" s="8"/>
      <c r="I95" s="9" t="n">
        <v>0.0241203703703704</v>
      </c>
      <c r="J95" s="12" t="n">
        <f aca="false">VALUE(SUBSTITUTE($A$84,"miles",""))/(I95*24)</f>
        <v>25.9117082533589</v>
      </c>
    </row>
    <row r="96" customFormat="false" ht="15" hidden="false" customHeight="false" outlineLevel="0" collapsed="false">
      <c r="A96" s="7"/>
      <c r="B96" s="8" t="n">
        <v>74</v>
      </c>
      <c r="C96" s="7" t="s">
        <v>46</v>
      </c>
      <c r="D96" s="8" t="s">
        <v>76</v>
      </c>
      <c r="E96" s="7" t="s">
        <v>77</v>
      </c>
      <c r="F96" s="7"/>
      <c r="G96" s="8"/>
      <c r="H96" s="8"/>
      <c r="I96" s="9" t="n">
        <v>0.0260532407407407</v>
      </c>
      <c r="J96" s="12" t="n">
        <f aca="false">VALUE(SUBSTITUTE($A$84,"miles",""))/(I96*24)</f>
        <v>23.989338071968</v>
      </c>
    </row>
    <row r="97" customFormat="false" ht="15" hidden="false" customHeight="false" outlineLevel="0" collapsed="false">
      <c r="A97" s="7"/>
      <c r="B97" s="8" t="n">
        <v>75</v>
      </c>
      <c r="C97" s="7" t="s">
        <v>46</v>
      </c>
      <c r="D97" s="8" t="s">
        <v>78</v>
      </c>
      <c r="E97" s="7" t="s">
        <v>68</v>
      </c>
      <c r="F97" s="7"/>
      <c r="G97" s="9" t="s">
        <v>14</v>
      </c>
      <c r="H97" s="12" t="s">
        <v>19</v>
      </c>
      <c r="I97" s="9" t="n">
        <v>0.0240625</v>
      </c>
      <c r="J97" s="12" t="n">
        <f aca="false">VALUE(SUBSTITUTE($A$84,"miles",""))/(I97*24)</f>
        <v>25.974025974026</v>
      </c>
    </row>
    <row r="98" customFormat="false" ht="15" hidden="false" customHeight="false" outlineLevel="0" collapsed="false">
      <c r="A98" s="7"/>
      <c r="B98" s="13" t="n">
        <v>76</v>
      </c>
      <c r="C98" s="10" t="s">
        <v>46</v>
      </c>
      <c r="D98" s="11" t="n">
        <v>1.12805555555556</v>
      </c>
      <c r="E98" s="10" t="s">
        <v>68</v>
      </c>
      <c r="F98" s="10"/>
      <c r="G98" s="11" t="s">
        <v>43</v>
      </c>
      <c r="H98" s="14" t="s">
        <v>39</v>
      </c>
      <c r="I98" s="11" t="n">
        <v>0.0239236111111111</v>
      </c>
      <c r="J98" s="14" t="n">
        <f aca="false">VALUE(SUBSTITUTE($A$84,"miles",""))/(I98*24)</f>
        <v>26.1248185776488</v>
      </c>
    </row>
    <row r="99" customFormat="false" ht="15" hidden="false" customHeight="false" outlineLevel="0" collapsed="false">
      <c r="A99" s="10"/>
      <c r="B99" s="13" t="n">
        <v>82</v>
      </c>
      <c r="C99" s="10" t="s">
        <v>56</v>
      </c>
      <c r="D99" s="13" t="s">
        <v>79</v>
      </c>
      <c r="E99" s="10" t="s">
        <v>69</v>
      </c>
      <c r="F99" s="10"/>
      <c r="G99" s="13" t="s">
        <v>43</v>
      </c>
      <c r="H99" s="13" t="s">
        <v>39</v>
      </c>
      <c r="I99" s="11" t="n">
        <v>0.0275231481481481</v>
      </c>
      <c r="J99" s="14" t="n">
        <f aca="false">VALUE(SUBSTITUTE($A$84,"miles",""))/(I99*24)</f>
        <v>22.708158116064</v>
      </c>
    </row>
    <row r="100" customFormat="false" ht="9" hidden="false" customHeight="true" outlineLevel="0" collapsed="false">
      <c r="A100" s="10"/>
      <c r="B100" s="8"/>
      <c r="C100" s="7"/>
      <c r="D100" s="8"/>
      <c r="E100" s="7"/>
      <c r="F100" s="7"/>
      <c r="G100" s="8"/>
      <c r="H100" s="8"/>
      <c r="I100" s="9"/>
      <c r="J100" s="9"/>
    </row>
    <row r="101" customFormat="false" ht="15" hidden="false" customHeight="false" outlineLevel="0" collapsed="false">
      <c r="A101" s="10" t="s">
        <v>80</v>
      </c>
      <c r="B101" s="8" t="n">
        <v>41</v>
      </c>
      <c r="C101" s="7" t="s">
        <v>81</v>
      </c>
      <c r="D101" s="8" t="n">
        <v>1993</v>
      </c>
      <c r="E101" s="7"/>
      <c r="F101" s="7"/>
      <c r="G101" s="8"/>
      <c r="H101" s="8"/>
      <c r="I101" s="9" t="n">
        <v>0.037037037037037</v>
      </c>
      <c r="J101" s="12" t="n">
        <f aca="false">VALUE(SUBSTITUTE($A$101,"miles",""))/(I101*24)</f>
        <v>28.125</v>
      </c>
    </row>
    <row r="102" customFormat="false" ht="15" hidden="false" customHeight="false" outlineLevel="0" collapsed="false">
      <c r="A102" s="10"/>
      <c r="B102" s="8" t="n">
        <v>41</v>
      </c>
      <c r="C102" s="7" t="s">
        <v>12</v>
      </c>
      <c r="D102" s="8" t="n">
        <v>1978</v>
      </c>
      <c r="E102" s="7"/>
      <c r="F102" s="7"/>
      <c r="G102" s="8"/>
      <c r="H102" s="8"/>
      <c r="I102" s="9" t="n">
        <v>0.0387731481481481</v>
      </c>
      <c r="J102" s="12" t="n">
        <f aca="false">VALUE(SUBSTITUTE($A$101,"miles",""))/(I102*24)</f>
        <v>26.8656716417911</v>
      </c>
    </row>
    <row r="103" customFormat="false" ht="15" hidden="false" customHeight="false" outlineLevel="0" collapsed="false">
      <c r="A103" s="10"/>
      <c r="B103" s="8" t="n">
        <v>42</v>
      </c>
      <c r="C103" s="7" t="s">
        <v>12</v>
      </c>
      <c r="D103" s="8" t="n">
        <v>1979</v>
      </c>
      <c r="E103" s="7"/>
      <c r="F103" s="7"/>
      <c r="G103" s="8"/>
      <c r="H103" s="8"/>
      <c r="I103" s="9" t="n">
        <v>0.0411342592592593</v>
      </c>
      <c r="J103" s="12" t="n">
        <f aca="false">VALUE(SUBSTITUTE($A$101,"miles",""))/(I103*24)</f>
        <v>25.3235790658413</v>
      </c>
    </row>
    <row r="104" customFormat="false" ht="15" hidden="false" customHeight="false" outlineLevel="0" collapsed="false">
      <c r="A104" s="10"/>
      <c r="B104" s="8" t="n">
        <v>46</v>
      </c>
      <c r="C104" s="7" t="s">
        <v>12</v>
      </c>
      <c r="D104" s="8" t="n">
        <v>1983</v>
      </c>
      <c r="E104" s="7"/>
      <c r="F104" s="7"/>
      <c r="G104" s="8"/>
      <c r="H104" s="8"/>
      <c r="I104" s="9" t="n">
        <v>0.0431944444444444</v>
      </c>
      <c r="J104" s="12" t="n">
        <f aca="false">VALUE(SUBSTITUTE($A$101,"miles",""))/(I104*24)</f>
        <v>24.1157556270097</v>
      </c>
    </row>
    <row r="105" customFormat="false" ht="15" hidden="false" customHeight="false" outlineLevel="0" collapsed="false">
      <c r="A105" s="10"/>
      <c r="B105" s="8" t="n">
        <v>48</v>
      </c>
      <c r="C105" s="7" t="s">
        <v>13</v>
      </c>
      <c r="D105" s="8" t="n">
        <v>2000</v>
      </c>
      <c r="E105" s="7" t="s">
        <v>82</v>
      </c>
      <c r="F105" s="7"/>
      <c r="G105" s="8" t="s">
        <v>14</v>
      </c>
      <c r="H105" s="8"/>
      <c r="I105" s="9" t="n">
        <v>0.0347916666666667</v>
      </c>
      <c r="J105" s="12" t="n">
        <f aca="false">VALUE(SUBSTITUTE($A$101,"miles",""))/(I105*24)</f>
        <v>29.940119760479</v>
      </c>
    </row>
    <row r="106" customFormat="false" ht="15" hidden="false" customHeight="false" outlineLevel="0" collapsed="false">
      <c r="A106" s="10"/>
      <c r="B106" s="8" t="n">
        <v>48</v>
      </c>
      <c r="C106" s="7" t="s">
        <v>16</v>
      </c>
      <c r="D106" s="8" t="n">
        <v>1984</v>
      </c>
      <c r="E106" s="7"/>
      <c r="F106" s="7"/>
      <c r="G106" s="8"/>
      <c r="H106" s="8"/>
      <c r="I106" s="9" t="n">
        <v>0.0413194444444444</v>
      </c>
      <c r="J106" s="12" t="n">
        <f aca="false">VALUE(SUBSTITUTE($A$101,"miles",""))/(I106*24)</f>
        <v>25.2100840336135</v>
      </c>
    </row>
    <row r="107" customFormat="false" ht="15" hidden="false" customHeight="false" outlineLevel="0" collapsed="false">
      <c r="A107" s="10"/>
      <c r="B107" s="8" t="n">
        <v>50</v>
      </c>
      <c r="C107" s="7" t="s">
        <v>15</v>
      </c>
      <c r="D107" s="8" t="n">
        <v>1990</v>
      </c>
      <c r="E107" s="7"/>
      <c r="F107" s="7"/>
      <c r="G107" s="8"/>
      <c r="H107" s="8"/>
      <c r="I107" s="9" t="n">
        <v>0.0383449074074074</v>
      </c>
      <c r="J107" s="12" t="n">
        <f aca="false">VALUE(SUBSTITUTE($A$101,"miles",""))/(I107*24)</f>
        <v>27.1657108361002</v>
      </c>
    </row>
    <row r="108" customFormat="false" ht="15" hidden="false" customHeight="false" outlineLevel="0" collapsed="false">
      <c r="A108" s="10"/>
      <c r="B108" s="8" t="n">
        <v>50</v>
      </c>
      <c r="C108" s="7" t="s">
        <v>16</v>
      </c>
      <c r="D108" s="8" t="n">
        <v>1985</v>
      </c>
      <c r="E108" s="7"/>
      <c r="F108" s="7"/>
      <c r="G108" s="8"/>
      <c r="H108" s="8"/>
      <c r="I108" s="9" t="n">
        <v>0.0407407407407407</v>
      </c>
      <c r="J108" s="12" t="n">
        <f aca="false">VALUE(SUBSTITUTE($A$101,"miles",""))/(I108*24)</f>
        <v>25.5681818181818</v>
      </c>
    </row>
    <row r="109" customFormat="false" ht="15" hidden="false" customHeight="false" outlineLevel="0" collapsed="false">
      <c r="A109" s="10"/>
      <c r="B109" s="8" t="n">
        <v>51</v>
      </c>
      <c r="C109" s="7" t="s">
        <v>15</v>
      </c>
      <c r="D109" s="8" t="n">
        <v>1991</v>
      </c>
      <c r="E109" s="7"/>
      <c r="F109" s="7"/>
      <c r="G109" s="8"/>
      <c r="H109" s="8"/>
      <c r="I109" s="9" t="n">
        <v>0.037962962962963</v>
      </c>
      <c r="J109" s="12" t="n">
        <f aca="false">VALUE(SUBSTITUTE($A$101,"miles",""))/(I109*24)</f>
        <v>27.4390243902439</v>
      </c>
    </row>
    <row r="110" customFormat="false" ht="15" hidden="false" customHeight="false" outlineLevel="0" collapsed="false">
      <c r="A110" s="10"/>
      <c r="B110" s="8" t="n">
        <v>51</v>
      </c>
      <c r="C110" s="7" t="s">
        <v>16</v>
      </c>
      <c r="D110" s="8" t="n">
        <v>1987</v>
      </c>
      <c r="E110" s="7"/>
      <c r="F110" s="7"/>
      <c r="G110" s="8"/>
      <c r="H110" s="8"/>
      <c r="I110" s="9" t="n">
        <v>0.0386574074074074</v>
      </c>
      <c r="J110" s="12" t="n">
        <f aca="false">VALUE(SUBSTITUTE($A$101,"miles",""))/(I110*24)</f>
        <v>26.9461077844311</v>
      </c>
    </row>
    <row r="111" customFormat="false" ht="15" hidden="false" customHeight="false" outlineLevel="0" collapsed="false">
      <c r="A111" s="10"/>
      <c r="B111" s="8" t="n">
        <v>51</v>
      </c>
      <c r="C111" s="7" t="s">
        <v>16</v>
      </c>
      <c r="D111" s="8" t="n">
        <v>1986</v>
      </c>
      <c r="E111" s="7"/>
      <c r="F111" s="7"/>
      <c r="G111" s="8"/>
      <c r="H111" s="8"/>
      <c r="I111" s="9" t="n">
        <v>0.0402777777777778</v>
      </c>
      <c r="J111" s="12" t="n">
        <f aca="false">VALUE(SUBSTITUTE($A$101,"miles",""))/(I111*24)</f>
        <v>25.8620689655172</v>
      </c>
    </row>
    <row r="112" customFormat="false" ht="15" hidden="false" customHeight="false" outlineLevel="0" collapsed="false">
      <c r="A112" s="10"/>
      <c r="B112" s="8" t="n">
        <v>52</v>
      </c>
      <c r="C112" s="7" t="s">
        <v>16</v>
      </c>
      <c r="D112" s="8" t="n">
        <v>1987</v>
      </c>
      <c r="E112" s="7"/>
      <c r="F112" s="7"/>
      <c r="G112" s="8"/>
      <c r="H112" s="8"/>
      <c r="I112" s="9" t="n">
        <v>0.0399652777777778</v>
      </c>
      <c r="J112" s="12" t="n">
        <f aca="false">VALUE(SUBSTITUTE($A$101,"miles",""))/(I112*24)</f>
        <v>26.0642919200695</v>
      </c>
    </row>
    <row r="113" customFormat="false" ht="15" hidden="false" customHeight="false" outlineLevel="0" collapsed="false">
      <c r="A113" s="10"/>
      <c r="B113" s="8" t="n">
        <v>53</v>
      </c>
      <c r="C113" s="7" t="s">
        <v>15</v>
      </c>
      <c r="D113" s="8" t="n">
        <v>1993</v>
      </c>
      <c r="E113" s="7"/>
      <c r="F113" s="7"/>
      <c r="G113" s="8"/>
      <c r="H113" s="8"/>
      <c r="I113" s="9" t="n">
        <v>0.0396412037037037</v>
      </c>
      <c r="J113" s="12" t="n">
        <f aca="false">VALUE(SUBSTITUTE($A$101,"miles",""))/(I113*24)</f>
        <v>26.2773722627737</v>
      </c>
    </row>
    <row r="114" customFormat="false" ht="15" hidden="false" customHeight="false" outlineLevel="0" collapsed="false">
      <c r="A114" s="10"/>
      <c r="B114" s="8" t="n">
        <v>53</v>
      </c>
      <c r="C114" s="7" t="s">
        <v>16</v>
      </c>
      <c r="D114" s="8" t="n">
        <v>1988</v>
      </c>
      <c r="E114" s="7"/>
      <c r="F114" s="7"/>
      <c r="G114" s="8"/>
      <c r="H114" s="8"/>
      <c r="I114" s="9" t="n">
        <v>0.0409375</v>
      </c>
      <c r="J114" s="12" t="n">
        <f aca="false">VALUE(SUBSTITUTE($A$101,"miles",""))/(I114*24)</f>
        <v>25.4452926208651</v>
      </c>
    </row>
    <row r="115" customFormat="false" ht="15" hidden="false" customHeight="false" outlineLevel="0" collapsed="false">
      <c r="A115" s="10"/>
      <c r="B115" s="8" t="n">
        <v>54</v>
      </c>
      <c r="C115" s="7" t="s">
        <v>13</v>
      </c>
      <c r="D115" s="8" t="n">
        <v>2006</v>
      </c>
      <c r="E115" s="7"/>
      <c r="F115" s="7"/>
      <c r="G115" s="8"/>
      <c r="H115" s="8"/>
      <c r="I115" s="9" t="n">
        <v>0.0353240740740741</v>
      </c>
      <c r="J115" s="12" t="n">
        <f aca="false">VALUE(SUBSTITUTE($A$101,"miles",""))/(I115*24)</f>
        <v>29.4888597640891</v>
      </c>
    </row>
    <row r="116" customFormat="false" ht="15" hidden="false" customHeight="false" outlineLevel="0" collapsed="false">
      <c r="A116" s="10"/>
      <c r="B116" s="8" t="n">
        <v>54</v>
      </c>
      <c r="C116" s="7" t="s">
        <v>13</v>
      </c>
      <c r="D116" s="8" t="n">
        <v>2006</v>
      </c>
      <c r="E116" s="7"/>
      <c r="F116" s="7"/>
      <c r="G116" s="8"/>
      <c r="H116" s="8"/>
      <c r="I116" s="9" t="n">
        <v>0.0370833333333333</v>
      </c>
      <c r="J116" s="12" t="n">
        <f aca="false">VALUE(SUBSTITUTE($A$101,"miles",""))/(I116*24)</f>
        <v>28.0898876404495</v>
      </c>
    </row>
    <row r="117" customFormat="false" ht="15" hidden="false" customHeight="false" outlineLevel="0" collapsed="false">
      <c r="A117" s="10"/>
      <c r="B117" s="8" t="n">
        <v>54</v>
      </c>
      <c r="C117" s="7" t="s">
        <v>15</v>
      </c>
      <c r="D117" s="8" t="n">
        <v>1994</v>
      </c>
      <c r="E117" s="7"/>
      <c r="F117" s="7"/>
      <c r="G117" s="8"/>
      <c r="H117" s="8"/>
      <c r="I117" s="9" t="n">
        <v>0.0393402777777778</v>
      </c>
      <c r="J117" s="12" t="n">
        <f aca="false">VALUE(SUBSTITUTE($A$101,"miles",""))/(I117*24)</f>
        <v>26.4783759929391</v>
      </c>
    </row>
    <row r="118" customFormat="false" ht="15" hidden="false" customHeight="false" outlineLevel="0" collapsed="false">
      <c r="A118" s="10"/>
      <c r="B118" s="8" t="n">
        <v>54</v>
      </c>
      <c r="C118" s="7" t="s">
        <v>16</v>
      </c>
      <c r="D118" s="8" t="n">
        <v>1989</v>
      </c>
      <c r="E118" s="7"/>
      <c r="F118" s="7"/>
      <c r="G118" s="8"/>
      <c r="H118" s="8"/>
      <c r="I118" s="9" t="n">
        <v>0.0418634259259259</v>
      </c>
      <c r="J118" s="12" t="n">
        <f aca="false">VALUE(SUBSTITUTE($A$101,"miles",""))/(I118*24)</f>
        <v>24.8824993088195</v>
      </c>
    </row>
    <row r="119" customFormat="false" ht="15" hidden="false" customHeight="false" outlineLevel="0" collapsed="false">
      <c r="A119" s="10"/>
      <c r="B119" s="8" t="n">
        <v>55</v>
      </c>
      <c r="C119" s="7" t="s">
        <v>13</v>
      </c>
      <c r="D119" s="8" t="n">
        <v>2007</v>
      </c>
      <c r="E119" s="7"/>
      <c r="F119" s="7"/>
      <c r="G119" s="8"/>
      <c r="H119" s="8" t="s">
        <v>19</v>
      </c>
      <c r="I119" s="9" t="n">
        <v>0.0350231481481481</v>
      </c>
      <c r="J119" s="12" t="n">
        <f aca="false">VALUE(SUBSTITUTE($A$101,"miles",""))/(I119*24)</f>
        <v>29.7422339722406</v>
      </c>
    </row>
    <row r="120" customFormat="false" ht="15" hidden="false" customHeight="false" outlineLevel="0" collapsed="false">
      <c r="A120" s="10"/>
      <c r="B120" s="8" t="n">
        <v>55</v>
      </c>
      <c r="C120" s="7" t="s">
        <v>16</v>
      </c>
      <c r="D120" s="8" t="n">
        <v>1991</v>
      </c>
      <c r="E120" s="7"/>
      <c r="F120" s="7"/>
      <c r="G120" s="8"/>
      <c r="H120" s="8"/>
      <c r="I120" s="9" t="n">
        <v>0.0400115740740741</v>
      </c>
      <c r="J120" s="12" t="n">
        <f aca="false">VALUE(SUBSTITUTE($A$101,"miles",""))/(I120*24)</f>
        <v>26.034133641886</v>
      </c>
    </row>
    <row r="121" customFormat="false" ht="15" hidden="false" customHeight="false" outlineLevel="0" collapsed="false">
      <c r="A121" s="10"/>
      <c r="B121" s="8" t="n">
        <v>55</v>
      </c>
      <c r="C121" s="7" t="s">
        <v>16</v>
      </c>
      <c r="D121" s="8" t="n">
        <v>1990</v>
      </c>
      <c r="E121" s="7"/>
      <c r="F121" s="7"/>
      <c r="G121" s="8"/>
      <c r="H121" s="8"/>
      <c r="I121" s="9" t="n">
        <v>0.0405439814814815</v>
      </c>
      <c r="J121" s="12" t="n">
        <f aca="false">VALUE(SUBSTITUTE($A$101,"miles",""))/(I121*24)</f>
        <v>25.6922637739081</v>
      </c>
    </row>
    <row r="122" customFormat="false" ht="15" hidden="false" customHeight="false" outlineLevel="0" collapsed="false">
      <c r="A122" s="10"/>
      <c r="B122" s="8" t="n">
        <v>56</v>
      </c>
      <c r="C122" s="7" t="s">
        <v>13</v>
      </c>
      <c r="D122" s="8" t="n">
        <v>2008</v>
      </c>
      <c r="E122" s="7"/>
      <c r="F122" s="7"/>
      <c r="G122" s="8"/>
      <c r="H122" s="8"/>
      <c r="I122" s="9" t="n">
        <v>0.0360300925925926</v>
      </c>
      <c r="J122" s="12" t="n">
        <f aca="false">VALUE(SUBSTITUTE($A$101,"miles",""))/(I122*24)</f>
        <v>28.9110183103116</v>
      </c>
    </row>
    <row r="123" customFormat="false" ht="15" hidden="false" customHeight="false" outlineLevel="0" collapsed="false">
      <c r="A123" s="10"/>
      <c r="B123" s="8" t="n">
        <v>56</v>
      </c>
      <c r="C123" s="7" t="s">
        <v>13</v>
      </c>
      <c r="D123" s="8" t="n">
        <v>2008</v>
      </c>
      <c r="E123" s="7"/>
      <c r="F123" s="7"/>
      <c r="G123" s="8"/>
      <c r="H123" s="8"/>
      <c r="I123" s="9" t="n">
        <v>0.0365046296296296</v>
      </c>
      <c r="J123" s="12" t="n">
        <f aca="false">VALUE(SUBSTITUTE($A$101,"miles",""))/(I123*24)</f>
        <v>28.5351934051998</v>
      </c>
    </row>
    <row r="124" customFormat="false" ht="15" hidden="false" customHeight="false" outlineLevel="0" collapsed="false">
      <c r="A124" s="7"/>
      <c r="B124" s="8" t="n">
        <v>56</v>
      </c>
      <c r="C124" s="7" t="s">
        <v>13</v>
      </c>
      <c r="D124" s="8" t="n">
        <v>2008</v>
      </c>
      <c r="E124" s="7"/>
      <c r="F124" s="7"/>
      <c r="G124" s="8"/>
      <c r="H124" s="8"/>
      <c r="I124" s="9" t="n">
        <v>0.0372222222222222</v>
      </c>
      <c r="J124" s="12" t="n">
        <f aca="false">VALUE(SUBSTITUTE($A$101,"miles",""))/(I124*24)</f>
        <v>27.9850746268657</v>
      </c>
    </row>
    <row r="125" customFormat="false" ht="15" hidden="false" customHeight="false" outlineLevel="0" collapsed="false">
      <c r="A125" s="10"/>
      <c r="B125" s="8" t="n">
        <v>57</v>
      </c>
      <c r="C125" s="7" t="s">
        <v>13</v>
      </c>
      <c r="D125" s="8" t="n">
        <v>2009</v>
      </c>
      <c r="E125" s="7"/>
      <c r="F125" s="7"/>
      <c r="G125" s="8"/>
      <c r="H125" s="8" t="s">
        <v>19</v>
      </c>
      <c r="I125" s="9" t="n">
        <v>0.0357291666666667</v>
      </c>
      <c r="J125" s="12" t="n">
        <f aca="false">VALUE(SUBSTITUTE($A$101,"miles",""))/(I125*24)</f>
        <v>29.1545189504373</v>
      </c>
    </row>
    <row r="126" customFormat="false" ht="15" hidden="false" customHeight="false" outlineLevel="0" collapsed="false">
      <c r="A126" s="10"/>
      <c r="B126" s="8" t="n">
        <v>57</v>
      </c>
      <c r="C126" s="7" t="s">
        <v>29</v>
      </c>
      <c r="D126" s="8" t="n">
        <v>1978</v>
      </c>
      <c r="E126" s="7"/>
      <c r="F126" s="7"/>
      <c r="G126" s="8"/>
      <c r="H126" s="8"/>
      <c r="I126" s="9" t="n">
        <v>0.0437152777777778</v>
      </c>
      <c r="J126" s="12" t="n">
        <f aca="false">VALUE(SUBSTITUTE($A$101,"miles",""))/(I126*24)</f>
        <v>23.8284352660842</v>
      </c>
    </row>
    <row r="127" customFormat="false" ht="15" hidden="false" customHeight="false" outlineLevel="0" collapsed="false">
      <c r="A127" s="10"/>
      <c r="B127" s="8" t="n">
        <v>58</v>
      </c>
      <c r="C127" s="7" t="s">
        <v>13</v>
      </c>
      <c r="D127" s="8" t="n">
        <v>2010</v>
      </c>
      <c r="E127" s="7"/>
      <c r="F127" s="7"/>
      <c r="G127" s="8"/>
      <c r="H127" s="8"/>
      <c r="I127" s="9" t="n">
        <v>0.0358333333333333</v>
      </c>
      <c r="J127" s="12" t="n">
        <f aca="false">VALUE(SUBSTITUTE($A$101,"miles",""))/(I127*24)</f>
        <v>29.0697674418605</v>
      </c>
    </row>
    <row r="128" customFormat="false" ht="15" hidden="false" customHeight="false" outlineLevel="0" collapsed="false">
      <c r="A128" s="10"/>
      <c r="B128" s="8" t="n">
        <v>58</v>
      </c>
      <c r="C128" s="7" t="s">
        <v>13</v>
      </c>
      <c r="D128" s="8" t="n">
        <v>2010</v>
      </c>
      <c r="E128" s="7"/>
      <c r="F128" s="7"/>
      <c r="G128" s="8"/>
      <c r="H128" s="8"/>
      <c r="I128" s="9" t="n">
        <v>0.0359837962962963</v>
      </c>
      <c r="J128" s="12" t="n">
        <f aca="false">VALUE(SUBSTITUTE($A$101,"miles",""))/(I128*24)</f>
        <v>28.9482148600836</v>
      </c>
    </row>
    <row r="129" customFormat="false" ht="15" hidden="false" customHeight="false" outlineLevel="0" collapsed="false">
      <c r="A129" s="10"/>
      <c r="B129" s="8" t="n">
        <v>58</v>
      </c>
      <c r="C129" s="7" t="s">
        <v>29</v>
      </c>
      <c r="D129" s="8" t="n">
        <v>1979</v>
      </c>
      <c r="E129" s="7"/>
      <c r="F129" s="7"/>
      <c r="G129" s="8"/>
      <c r="H129" s="8"/>
      <c r="I129" s="9" t="n">
        <v>0.0447106481481482</v>
      </c>
      <c r="J129" s="12" t="n">
        <f aca="false">VALUE(SUBSTITUTE($A$101,"miles",""))/(I129*24)</f>
        <v>23.2979549572871</v>
      </c>
    </row>
    <row r="130" customFormat="false" ht="15" hidden="false" customHeight="false" outlineLevel="0" collapsed="false">
      <c r="A130" s="10"/>
      <c r="B130" s="13" t="n">
        <v>60</v>
      </c>
      <c r="C130" s="10" t="s">
        <v>13</v>
      </c>
      <c r="D130" s="13" t="s">
        <v>83</v>
      </c>
      <c r="E130" s="10" t="s">
        <v>84</v>
      </c>
      <c r="F130" s="10"/>
      <c r="G130" s="13" t="s">
        <v>14</v>
      </c>
      <c r="H130" s="13" t="s">
        <v>39</v>
      </c>
      <c r="I130" s="11" t="n">
        <v>0.0346875</v>
      </c>
      <c r="J130" s="14" t="n">
        <f aca="false">VALUE(SUBSTITUTE($A$101,"miles",""))/(I130*24)</f>
        <v>30.03003003003</v>
      </c>
    </row>
    <row r="131" customFormat="false" ht="15" hidden="false" customHeight="false" outlineLevel="0" collapsed="false">
      <c r="A131" s="10"/>
      <c r="B131" s="8" t="n">
        <v>60</v>
      </c>
      <c r="C131" s="7" t="s">
        <v>28</v>
      </c>
      <c r="D131" s="8" t="n">
        <v>1989</v>
      </c>
      <c r="E131" s="7"/>
      <c r="F131" s="7"/>
      <c r="G131" s="8"/>
      <c r="H131" s="8"/>
      <c r="I131" s="9" t="n">
        <v>0.0448726851851852</v>
      </c>
      <c r="J131" s="12" t="n">
        <f aca="false">VALUE(SUBSTITUTE($A$101,"miles",""))/(I131*24)</f>
        <v>23.2138251225174</v>
      </c>
    </row>
    <row r="132" customFormat="false" ht="15" hidden="false" customHeight="false" outlineLevel="0" collapsed="false">
      <c r="A132" s="10"/>
      <c r="B132" s="8" t="n">
        <v>60</v>
      </c>
      <c r="C132" s="7" t="s">
        <v>29</v>
      </c>
      <c r="D132" s="8" t="n">
        <v>1981</v>
      </c>
      <c r="E132" s="7"/>
      <c r="F132" s="7"/>
      <c r="G132" s="8"/>
      <c r="H132" s="8"/>
      <c r="I132" s="9" t="n">
        <v>0.0493287037037037</v>
      </c>
      <c r="J132" s="12" t="n">
        <f aca="false">VALUE(SUBSTITUTE($A$101,"miles",""))/(I132*24)</f>
        <v>21.1168465509151</v>
      </c>
    </row>
    <row r="133" customFormat="false" ht="15" hidden="false" customHeight="false" outlineLevel="0" collapsed="false">
      <c r="A133" s="10"/>
      <c r="B133" s="8" t="n">
        <v>61</v>
      </c>
      <c r="C133" s="7" t="s">
        <v>32</v>
      </c>
      <c r="D133" s="8" t="n">
        <v>1991</v>
      </c>
      <c r="E133" s="7"/>
      <c r="F133" s="7"/>
      <c r="G133" s="8"/>
      <c r="H133" s="8"/>
      <c r="I133" s="9" t="n">
        <v>0.0406828703703704</v>
      </c>
      <c r="J133" s="12" t="n">
        <f aca="false">VALUE(SUBSTITUTE($A$101,"miles",""))/(I133*24)</f>
        <v>25.6045519203414</v>
      </c>
    </row>
    <row r="134" customFormat="false" ht="15" hidden="false" customHeight="false" outlineLevel="0" collapsed="false">
      <c r="A134" s="10"/>
      <c r="B134" s="8" t="n">
        <v>61</v>
      </c>
      <c r="C134" s="7" t="s">
        <v>29</v>
      </c>
      <c r="D134" s="8" t="n">
        <v>1982</v>
      </c>
      <c r="E134" s="7"/>
      <c r="F134" s="7"/>
      <c r="G134" s="8"/>
      <c r="H134" s="8"/>
      <c r="I134" s="9" t="n">
        <v>0.0466550925925926</v>
      </c>
      <c r="J134" s="12" t="n">
        <f aca="false">VALUE(SUBSTITUTE($A$101,"miles",""))/(I134*24)</f>
        <v>22.3269660133962</v>
      </c>
    </row>
    <row r="135" customFormat="false" ht="15" hidden="false" customHeight="false" outlineLevel="0" collapsed="false">
      <c r="A135" s="10"/>
      <c r="B135" s="8" t="n">
        <v>62</v>
      </c>
      <c r="C135" s="7" t="s">
        <v>13</v>
      </c>
      <c r="D135" s="8" t="s">
        <v>85</v>
      </c>
      <c r="E135" s="7"/>
      <c r="F135" s="7"/>
      <c r="G135" s="8" t="s">
        <v>14</v>
      </c>
      <c r="H135" s="8" t="s">
        <v>19</v>
      </c>
      <c r="I135" s="9" t="n">
        <v>0.0354861111111111</v>
      </c>
      <c r="J135" s="12" t="n">
        <f aca="false">VALUE(SUBSTITUTE($A$101,"miles",""))/(I135*24)</f>
        <v>29.3542074363992</v>
      </c>
    </row>
    <row r="136" customFormat="false" ht="15" hidden="false" customHeight="false" outlineLevel="0" collapsed="false">
      <c r="A136" s="10"/>
      <c r="B136" s="8" t="n">
        <v>62</v>
      </c>
      <c r="C136" s="7" t="s">
        <v>32</v>
      </c>
      <c r="D136" s="8" t="n">
        <v>1992</v>
      </c>
      <c r="E136" s="7"/>
      <c r="F136" s="7"/>
      <c r="G136" s="8"/>
      <c r="H136" s="8"/>
      <c r="I136" s="9" t="n">
        <v>0.0428819444444444</v>
      </c>
      <c r="J136" s="12" t="n">
        <f aca="false">VALUE(SUBSTITUTE($A$101,"miles",""))/(I136*24)</f>
        <v>24.2914979757085</v>
      </c>
    </row>
    <row r="137" customFormat="false" ht="15" hidden="false" customHeight="false" outlineLevel="0" collapsed="false">
      <c r="A137" s="10"/>
      <c r="B137" s="8" t="n">
        <v>62</v>
      </c>
      <c r="C137" s="7" t="s">
        <v>29</v>
      </c>
      <c r="D137" s="8" t="n">
        <v>1983</v>
      </c>
      <c r="E137" s="7"/>
      <c r="F137" s="7"/>
      <c r="G137" s="8"/>
      <c r="H137" s="8"/>
      <c r="I137" s="9" t="n">
        <v>0.0462615740740741</v>
      </c>
      <c r="J137" s="12" t="n">
        <f aca="false">VALUE(SUBSTITUTE($A$101,"miles",""))/(I137*24)</f>
        <v>22.5168876657493</v>
      </c>
    </row>
    <row r="138" customFormat="false" ht="15" hidden="false" customHeight="false" outlineLevel="0" collapsed="false">
      <c r="A138" s="10"/>
      <c r="B138" s="8" t="n">
        <v>63</v>
      </c>
      <c r="C138" s="7" t="s">
        <v>13</v>
      </c>
      <c r="D138" s="8" t="s">
        <v>86</v>
      </c>
      <c r="E138" s="7" t="s">
        <v>84</v>
      </c>
      <c r="F138" s="7"/>
      <c r="G138" s="8"/>
      <c r="H138" s="8"/>
      <c r="I138" s="9" t="n">
        <v>0.0366203703703704</v>
      </c>
      <c r="J138" s="12" t="n">
        <f aca="false">VALUE(SUBSTITUTE($A$101,"miles",""))/(I138*24)</f>
        <v>28.4450063211125</v>
      </c>
    </row>
    <row r="139" customFormat="false" ht="15" hidden="false" customHeight="false" outlineLevel="0" collapsed="false">
      <c r="A139" s="10"/>
      <c r="B139" s="8" t="n">
        <v>63</v>
      </c>
      <c r="C139" s="7" t="s">
        <v>29</v>
      </c>
      <c r="D139" s="8" t="n">
        <v>1984</v>
      </c>
      <c r="E139" s="7"/>
      <c r="F139" s="7"/>
      <c r="G139" s="8"/>
      <c r="H139" s="8"/>
      <c r="I139" s="9" t="n">
        <v>0.0484143518518519</v>
      </c>
      <c r="J139" s="12" t="n">
        <f aca="false">VALUE(SUBSTITUTE($A$101,"miles",""))/(I139*24)</f>
        <v>21.5156586182166</v>
      </c>
    </row>
    <row r="140" customFormat="false" ht="15" hidden="false" customHeight="false" outlineLevel="0" collapsed="false">
      <c r="A140" s="10"/>
      <c r="B140" s="8" t="n">
        <v>64</v>
      </c>
      <c r="C140" s="7" t="s">
        <v>33</v>
      </c>
      <c r="D140" s="8" t="s">
        <v>53</v>
      </c>
      <c r="E140" s="7" t="s">
        <v>84</v>
      </c>
      <c r="F140" s="7"/>
      <c r="G140" s="8" t="s">
        <v>14</v>
      </c>
      <c r="H140" s="8" t="s">
        <v>19</v>
      </c>
      <c r="I140" s="9" t="n">
        <v>0.0359259259259259</v>
      </c>
      <c r="J140" s="12" t="n">
        <f aca="false">VALUE(SUBSTITUTE($A$101,"miles",""))/(I140*24)</f>
        <v>28.9948453608248</v>
      </c>
    </row>
    <row r="141" customFormat="false" ht="15" hidden="false" customHeight="false" outlineLevel="0" collapsed="false">
      <c r="A141" s="10"/>
      <c r="B141" s="8" t="n">
        <v>64</v>
      </c>
      <c r="C141" s="7" t="s">
        <v>13</v>
      </c>
      <c r="D141" s="8" t="s">
        <v>87</v>
      </c>
      <c r="E141" s="7" t="s">
        <v>84</v>
      </c>
      <c r="F141" s="7"/>
      <c r="G141" s="8"/>
      <c r="H141" s="8" t="s">
        <v>19</v>
      </c>
      <c r="I141" s="9" t="n">
        <v>0.0368055555555556</v>
      </c>
      <c r="J141" s="12" t="n">
        <f aca="false">VALUE(SUBSTITUTE($A$101,"miles",""))/(I141*24)</f>
        <v>28.3018867924528</v>
      </c>
    </row>
    <row r="142" customFormat="false" ht="15" hidden="false" customHeight="false" outlineLevel="0" collapsed="false">
      <c r="A142" s="10"/>
      <c r="B142" s="8" t="n">
        <v>64</v>
      </c>
      <c r="C142" s="7" t="s">
        <v>29</v>
      </c>
      <c r="D142" s="8" t="n">
        <v>1985</v>
      </c>
      <c r="E142" s="7"/>
      <c r="F142" s="7"/>
      <c r="G142" s="8"/>
      <c r="H142" s="8"/>
      <c r="I142" s="9" t="n">
        <v>0.0487962962962963</v>
      </c>
      <c r="J142" s="12" t="n">
        <f aca="false">VALUE(SUBSTITUTE($A$101,"miles",""))/(I142*24)</f>
        <v>21.3472485768501</v>
      </c>
    </row>
    <row r="143" customFormat="false" ht="15" hidden="false" customHeight="false" outlineLevel="0" collapsed="false">
      <c r="A143" s="10"/>
      <c r="B143" s="13" t="n">
        <v>65</v>
      </c>
      <c r="C143" s="10" t="s">
        <v>33</v>
      </c>
      <c r="D143" s="13" t="s">
        <v>88</v>
      </c>
      <c r="E143" s="10" t="s">
        <v>89</v>
      </c>
      <c r="F143" s="10"/>
      <c r="G143" s="13" t="s">
        <v>14</v>
      </c>
      <c r="H143" s="13" t="s">
        <v>39</v>
      </c>
      <c r="I143" s="11" t="n">
        <v>0.035150462962963</v>
      </c>
      <c r="J143" s="14" t="n">
        <f aca="false">VALUE(SUBSTITUTE($A$101,"miles",""))/(I143*24)</f>
        <v>29.6345077378992</v>
      </c>
    </row>
    <row r="144" customFormat="false" ht="15" hidden="false" customHeight="false" outlineLevel="0" collapsed="false">
      <c r="A144" s="10"/>
      <c r="B144" s="8" t="n">
        <v>65</v>
      </c>
      <c r="C144" s="7" t="s">
        <v>33</v>
      </c>
      <c r="D144" s="8" t="s">
        <v>90</v>
      </c>
      <c r="E144" s="7" t="s">
        <v>84</v>
      </c>
      <c r="F144" s="7"/>
      <c r="G144" s="8"/>
      <c r="H144" s="8" t="s">
        <v>19</v>
      </c>
      <c r="I144" s="9" t="n">
        <v>0.0372106481481482</v>
      </c>
      <c r="J144" s="12" t="n">
        <f aca="false">VALUE(SUBSTITUTE($A$101,"miles",""))/(I144*24)</f>
        <v>27.9937791601866</v>
      </c>
    </row>
    <row r="145" customFormat="false" ht="15" hidden="false" customHeight="false" outlineLevel="0" collapsed="false">
      <c r="A145" s="10"/>
      <c r="B145" s="8" t="n">
        <v>65</v>
      </c>
      <c r="C145" s="7" t="s">
        <v>13</v>
      </c>
      <c r="D145" s="8" t="s">
        <v>91</v>
      </c>
      <c r="E145" s="7" t="s">
        <v>84</v>
      </c>
      <c r="F145" s="7"/>
      <c r="G145" s="8"/>
      <c r="H145" s="8" t="s">
        <v>19</v>
      </c>
      <c r="I145" s="9" t="n">
        <v>0.0376041666666667</v>
      </c>
      <c r="J145" s="12" t="n">
        <f aca="false">VALUE(SUBSTITUTE($A$101,"miles",""))/(I145*24)</f>
        <v>27.7008310249307</v>
      </c>
    </row>
    <row r="146" customFormat="false" ht="15" hidden="false" customHeight="false" outlineLevel="0" collapsed="false">
      <c r="A146" s="10"/>
      <c r="B146" s="8" t="n">
        <v>65</v>
      </c>
      <c r="C146" s="7" t="s">
        <v>29</v>
      </c>
      <c r="D146" s="8" t="n">
        <v>1986</v>
      </c>
      <c r="E146" s="7"/>
      <c r="F146" s="7"/>
      <c r="G146" s="8"/>
      <c r="H146" s="8"/>
      <c r="I146" s="9" t="n">
        <v>0.0465509259259259</v>
      </c>
      <c r="J146" s="12" t="n">
        <f aca="false">VALUE(SUBSTITUTE($A$101,"miles",""))/(I146*24)</f>
        <v>22.3769269020388</v>
      </c>
    </row>
    <row r="147" customFormat="false" ht="15" hidden="false" customHeight="false" outlineLevel="0" collapsed="false">
      <c r="A147" s="10"/>
      <c r="B147" s="8" t="n">
        <v>66</v>
      </c>
      <c r="C147" s="7" t="s">
        <v>33</v>
      </c>
      <c r="D147" s="8" t="s">
        <v>92</v>
      </c>
      <c r="E147" s="7" t="s">
        <v>89</v>
      </c>
      <c r="F147" s="7"/>
      <c r="G147" s="8"/>
      <c r="H147" s="8" t="s">
        <v>19</v>
      </c>
      <c r="I147" s="9" t="n">
        <v>0.0366203703703704</v>
      </c>
      <c r="J147" s="12" t="n">
        <f aca="false">VALUE(SUBSTITUTE($A$101,"miles",""))/(I147*24)</f>
        <v>28.4450063211125</v>
      </c>
    </row>
    <row r="148" customFormat="false" ht="15" hidden="false" customHeight="false" outlineLevel="0" collapsed="false">
      <c r="A148" s="10"/>
      <c r="B148" s="8" t="n">
        <v>66</v>
      </c>
      <c r="C148" s="7" t="s">
        <v>13</v>
      </c>
      <c r="D148" s="8" t="s">
        <v>93</v>
      </c>
      <c r="E148" s="7" t="s">
        <v>84</v>
      </c>
      <c r="F148" s="7"/>
      <c r="G148" s="8"/>
      <c r="H148" s="8" t="s">
        <v>19</v>
      </c>
      <c r="I148" s="9" t="n">
        <v>0.0368518518518519</v>
      </c>
      <c r="J148" s="12" t="n">
        <f aca="false">VALUE(SUBSTITUTE($A$101,"miles",""))/(I148*24)</f>
        <v>28.2663316582914</v>
      </c>
    </row>
    <row r="149" customFormat="false" ht="15" hidden="false" customHeight="false" outlineLevel="0" collapsed="false">
      <c r="A149" s="10"/>
      <c r="B149" s="8" t="n">
        <v>66</v>
      </c>
      <c r="C149" s="7" t="s">
        <v>13</v>
      </c>
      <c r="D149" s="8" t="s">
        <v>94</v>
      </c>
      <c r="E149" s="7" t="s">
        <v>95</v>
      </c>
      <c r="F149" s="7"/>
      <c r="G149" s="8"/>
      <c r="H149" s="8" t="s">
        <v>19</v>
      </c>
      <c r="I149" s="9" t="n">
        <v>0.0369675925925926</v>
      </c>
      <c r="J149" s="12" t="n">
        <f aca="false">VALUE(SUBSTITUTE($A$101,"miles",""))/(I149*24)</f>
        <v>28.1778334376957</v>
      </c>
    </row>
    <row r="150" customFormat="false" ht="15" hidden="false" customHeight="false" outlineLevel="0" collapsed="false">
      <c r="A150" s="10"/>
      <c r="B150" s="8" t="n">
        <v>66</v>
      </c>
      <c r="C150" s="7" t="s">
        <v>46</v>
      </c>
      <c r="D150" s="8" t="s">
        <v>96</v>
      </c>
      <c r="E150" s="7" t="s">
        <v>84</v>
      </c>
      <c r="F150" s="7"/>
      <c r="G150" s="8"/>
      <c r="H150" s="8"/>
      <c r="I150" s="9" t="n">
        <v>0.040462962962963</v>
      </c>
      <c r="J150" s="12" t="n">
        <f aca="false">VALUE(SUBSTITUTE($A$101,"miles",""))/(I150*24)</f>
        <v>25.7437070938215</v>
      </c>
    </row>
    <row r="151" customFormat="false" ht="15" hidden="false" customHeight="false" outlineLevel="0" collapsed="false">
      <c r="A151" s="10"/>
      <c r="B151" s="8" t="n">
        <v>66</v>
      </c>
      <c r="C151" s="7" t="s">
        <v>32</v>
      </c>
      <c r="D151" s="8" t="n">
        <v>1996</v>
      </c>
      <c r="E151" s="7"/>
      <c r="F151" s="7"/>
      <c r="G151" s="8"/>
      <c r="H151" s="8"/>
      <c r="I151" s="9" t="n">
        <v>0.0411574074074074</v>
      </c>
      <c r="J151" s="12" t="n">
        <f aca="false">VALUE(SUBSTITUTE($A$101,"miles",""))/(I151*24)</f>
        <v>25.3093363329584</v>
      </c>
    </row>
    <row r="152" customFormat="false" ht="15" hidden="false" customHeight="false" outlineLevel="0" collapsed="false">
      <c r="A152" s="10"/>
      <c r="B152" s="8" t="n">
        <v>66</v>
      </c>
      <c r="C152" s="7" t="s">
        <v>48</v>
      </c>
      <c r="D152" s="8" t="n">
        <v>1993</v>
      </c>
      <c r="E152" s="7"/>
      <c r="F152" s="7"/>
      <c r="G152" s="8"/>
      <c r="H152" s="8"/>
      <c r="I152" s="9" t="n">
        <v>0.0413888888888889</v>
      </c>
      <c r="J152" s="12" t="n">
        <f aca="false">VALUE(SUBSTITUTE($A$101,"miles",""))/(I152*24)</f>
        <v>25.1677852348993</v>
      </c>
    </row>
    <row r="153" customFormat="false" ht="15" hidden="false" customHeight="false" outlineLevel="0" collapsed="false">
      <c r="A153" s="7"/>
      <c r="B153" s="8" t="n">
        <v>67</v>
      </c>
      <c r="C153" s="7" t="s">
        <v>33</v>
      </c>
      <c r="D153" s="8" t="s">
        <v>97</v>
      </c>
      <c r="E153" s="7" t="s">
        <v>95</v>
      </c>
      <c r="F153" s="7"/>
      <c r="G153" s="8"/>
      <c r="H153" s="8" t="s">
        <v>19</v>
      </c>
      <c r="I153" s="9" t="n">
        <v>0.0376157407407407</v>
      </c>
      <c r="J153" s="12" t="n">
        <f aca="false">VALUE(SUBSTITUTE($A$101,"miles",""))/(I153*24)</f>
        <v>27.6923076923077</v>
      </c>
    </row>
    <row r="154" customFormat="false" ht="15" hidden="false" customHeight="false" outlineLevel="0" collapsed="false">
      <c r="A154" s="7"/>
      <c r="B154" s="13" t="n">
        <v>68</v>
      </c>
      <c r="C154" s="10" t="s">
        <v>33</v>
      </c>
      <c r="D154" s="13" t="s">
        <v>98</v>
      </c>
      <c r="E154" s="10" t="s">
        <v>99</v>
      </c>
      <c r="F154" s="10"/>
      <c r="G154" s="13" t="s">
        <v>43</v>
      </c>
      <c r="H154" s="13" t="s">
        <v>39</v>
      </c>
      <c r="I154" s="11" t="n">
        <v>0.0361805555555556</v>
      </c>
      <c r="J154" s="14" t="n">
        <f aca="false">VALUE(SUBSTITUTE($A$101,"miles",""))/(I154*24)</f>
        <v>28.7907869481766</v>
      </c>
    </row>
    <row r="155" customFormat="false" ht="15" hidden="false" customHeight="false" outlineLevel="0" collapsed="false">
      <c r="A155" s="7"/>
      <c r="B155" s="8" t="n">
        <v>68</v>
      </c>
      <c r="C155" s="7" t="s">
        <v>33</v>
      </c>
      <c r="D155" s="8" t="s">
        <v>100</v>
      </c>
      <c r="E155" s="16" t="s">
        <v>95</v>
      </c>
      <c r="F155" s="7"/>
      <c r="G155" s="8"/>
      <c r="H155" s="8" t="s">
        <v>19</v>
      </c>
      <c r="I155" s="9" t="n">
        <v>0.0370833333333333</v>
      </c>
      <c r="J155" s="12" t="n">
        <f aca="false">VALUE(SUBSTITUTE($A$101,"miles",""))/(I155*24)</f>
        <v>28.0898876404495</v>
      </c>
    </row>
    <row r="156" customFormat="false" ht="15" hidden="false" customHeight="false" outlineLevel="0" collapsed="false">
      <c r="A156" s="10"/>
      <c r="B156" s="8" t="n">
        <v>68</v>
      </c>
      <c r="C156" s="7" t="s">
        <v>46</v>
      </c>
      <c r="D156" s="8" t="s">
        <v>101</v>
      </c>
      <c r="E156" s="7" t="s">
        <v>89</v>
      </c>
      <c r="F156" s="7"/>
      <c r="G156" s="8"/>
      <c r="H156" s="8"/>
      <c r="I156" s="9" t="n">
        <v>0.0395601851851852</v>
      </c>
      <c r="J156" s="12" t="n">
        <f aca="false">VALUE(SUBSTITUTE($A$101,"miles",""))/(I156*24)</f>
        <v>26.3311878291398</v>
      </c>
    </row>
    <row r="157" customFormat="false" ht="15" hidden="false" customHeight="false" outlineLevel="0" collapsed="false">
      <c r="A157" s="10"/>
      <c r="B157" s="8" t="n">
        <v>68</v>
      </c>
      <c r="C157" s="7" t="s">
        <v>56</v>
      </c>
      <c r="D157" s="8" t="n">
        <v>1999</v>
      </c>
      <c r="E157" s="17"/>
      <c r="F157" s="7"/>
      <c r="G157" s="8"/>
      <c r="H157" s="8"/>
      <c r="I157" s="9" t="n">
        <v>0.0433101851851852</v>
      </c>
      <c r="J157" s="12" t="n">
        <f aca="false">VALUE(SUBSTITUTE($A$101,"miles",""))/(I157*24)</f>
        <v>24.0513094601817</v>
      </c>
    </row>
    <row r="158" customFormat="false" ht="15" hidden="false" customHeight="false" outlineLevel="0" collapsed="false">
      <c r="A158" s="10"/>
      <c r="B158" s="8" t="n">
        <v>68</v>
      </c>
      <c r="C158" s="7" t="s">
        <v>48</v>
      </c>
      <c r="D158" s="8" t="n">
        <v>1995</v>
      </c>
      <c r="E158" s="7"/>
      <c r="F158" s="7"/>
      <c r="G158" s="8"/>
      <c r="H158" s="8"/>
      <c r="I158" s="9" t="n">
        <v>0.0433796296296296</v>
      </c>
      <c r="J158" s="12" t="n">
        <f aca="false">VALUE(SUBSTITUTE($A$101,"miles",""))/(I158*24)</f>
        <v>24.0128068303095</v>
      </c>
    </row>
    <row r="159" customFormat="false" ht="15" hidden="false" customHeight="false" outlineLevel="0" collapsed="false">
      <c r="A159" s="10"/>
      <c r="B159" s="13" t="n">
        <v>69</v>
      </c>
      <c r="C159" s="10" t="s">
        <v>33</v>
      </c>
      <c r="D159" s="13" t="s">
        <v>102</v>
      </c>
      <c r="E159" s="10" t="s">
        <v>103</v>
      </c>
      <c r="F159" s="10"/>
      <c r="G159" s="13"/>
      <c r="H159" s="13" t="s">
        <v>39</v>
      </c>
      <c r="I159" s="11" t="n">
        <v>0.0371990740740741</v>
      </c>
      <c r="J159" s="14" t="n">
        <f aca="false">VALUE(SUBSTITUTE($A$101,"miles",""))/(I159*24)</f>
        <v>28.0024891101431</v>
      </c>
    </row>
    <row r="160" customFormat="false" ht="15" hidden="false" customHeight="false" outlineLevel="0" collapsed="false">
      <c r="A160" s="10"/>
      <c r="B160" s="8" t="n">
        <v>69</v>
      </c>
      <c r="C160" s="7" t="s">
        <v>33</v>
      </c>
      <c r="D160" s="8" t="s">
        <v>104</v>
      </c>
      <c r="E160" s="7" t="s">
        <v>103</v>
      </c>
      <c r="F160" s="7"/>
      <c r="G160" s="8"/>
      <c r="H160" s="8" t="s">
        <v>19</v>
      </c>
      <c r="I160" s="9" t="n">
        <v>0.0373611111111111</v>
      </c>
      <c r="J160" s="12" t="n">
        <f aca="false">VALUE(SUBSTITUTE($A$101,"miles",""))/(I160*24)</f>
        <v>27.8810408921933</v>
      </c>
    </row>
    <row r="161" customFormat="false" ht="15" hidden="false" customHeight="false" outlineLevel="0" collapsed="false">
      <c r="A161" s="10"/>
      <c r="B161" s="8" t="n">
        <v>69</v>
      </c>
      <c r="C161" s="7" t="s">
        <v>46</v>
      </c>
      <c r="D161" s="8" t="s">
        <v>105</v>
      </c>
      <c r="E161" s="7" t="s">
        <v>84</v>
      </c>
      <c r="F161" s="7"/>
      <c r="G161" s="8"/>
      <c r="H161" s="8" t="s">
        <v>19</v>
      </c>
      <c r="I161" s="9" t="n">
        <v>0.0380324074074074</v>
      </c>
      <c r="J161" s="12" t="n">
        <f aca="false">VALUE(SUBSTITUTE($A$101,"miles",""))/(I161*24)</f>
        <v>27.3889227023737</v>
      </c>
    </row>
    <row r="162" customFormat="false" ht="15" hidden="false" customHeight="false" outlineLevel="0" collapsed="false">
      <c r="A162" s="10"/>
      <c r="B162" s="8" t="n">
        <v>69</v>
      </c>
      <c r="C162" s="7" t="s">
        <v>56</v>
      </c>
      <c r="D162" s="8" t="n">
        <v>2000</v>
      </c>
      <c r="E162" s="7"/>
      <c r="F162" s="7"/>
      <c r="G162" s="8"/>
      <c r="H162" s="8"/>
      <c r="I162" s="9" t="n">
        <v>0.0422916666666667</v>
      </c>
      <c r="J162" s="12" t="n">
        <f aca="false">VALUE(SUBSTITUTE($A$101,"miles",""))/(I162*24)</f>
        <v>24.6305418719212</v>
      </c>
    </row>
    <row r="163" customFormat="false" ht="15" hidden="false" customHeight="false" outlineLevel="0" collapsed="false">
      <c r="A163" s="10"/>
      <c r="B163" s="8" t="n">
        <v>69</v>
      </c>
      <c r="C163" s="7" t="s">
        <v>48</v>
      </c>
      <c r="D163" s="8" t="n">
        <v>1996</v>
      </c>
      <c r="E163" s="7"/>
      <c r="F163" s="7"/>
      <c r="G163" s="8"/>
      <c r="H163" s="8"/>
      <c r="I163" s="9" t="n">
        <v>0.044224537037037</v>
      </c>
      <c r="J163" s="12" t="n">
        <f aca="false">VALUE(SUBSTITUTE($A$101,"miles",""))/(I163*24)</f>
        <v>23.5540434441246</v>
      </c>
    </row>
    <row r="164" customFormat="false" ht="15" hidden="false" customHeight="false" outlineLevel="0" collapsed="false">
      <c r="A164" s="10"/>
      <c r="B164" s="13" t="n">
        <v>70</v>
      </c>
      <c r="C164" s="10" t="s">
        <v>46</v>
      </c>
      <c r="D164" s="13" t="s">
        <v>106</v>
      </c>
      <c r="E164" s="10" t="s">
        <v>84</v>
      </c>
      <c r="F164" s="10"/>
      <c r="G164" s="8"/>
      <c r="H164" s="8"/>
      <c r="I164" s="11" t="n">
        <v>0.0385300925925926</v>
      </c>
      <c r="J164" s="14" t="n">
        <f aca="false">VALUE(SUBSTITUTE($A$101,"miles",""))/(I164*24)</f>
        <v>27.0351456893962</v>
      </c>
    </row>
    <row r="165" customFormat="false" ht="15" hidden="false" customHeight="false" outlineLevel="0" collapsed="false">
      <c r="A165" s="10"/>
      <c r="B165" s="8" t="n">
        <v>70</v>
      </c>
      <c r="C165" s="7" t="s">
        <v>56</v>
      </c>
      <c r="D165" s="8" t="s">
        <v>107</v>
      </c>
      <c r="E165" s="7" t="s">
        <v>108</v>
      </c>
      <c r="F165" s="7"/>
      <c r="G165" s="8"/>
      <c r="H165" s="8"/>
      <c r="I165" s="9" t="n">
        <v>0.0422569444444444</v>
      </c>
      <c r="J165" s="12" t="n">
        <f aca="false">VALUE(SUBSTITUTE($A$101,"miles",""))/(I165*24)</f>
        <v>24.6507806080526</v>
      </c>
    </row>
    <row r="166" customFormat="false" ht="15" hidden="false" customHeight="false" outlineLevel="0" collapsed="false">
      <c r="A166" s="10"/>
      <c r="B166" s="13" t="n">
        <v>71</v>
      </c>
      <c r="C166" s="10" t="s">
        <v>46</v>
      </c>
      <c r="D166" s="13" t="s">
        <v>93</v>
      </c>
      <c r="E166" s="10" t="s">
        <v>84</v>
      </c>
      <c r="F166" s="10"/>
      <c r="G166" s="8"/>
      <c r="H166" s="8"/>
      <c r="I166" s="11" t="n">
        <v>0.0387847222222222</v>
      </c>
      <c r="J166" s="14" t="n">
        <f aca="false">VALUE(SUBSTITUTE($A$101,"miles",""))/(I166*24)</f>
        <v>26.857654431513</v>
      </c>
    </row>
    <row r="167" customFormat="false" ht="15" hidden="false" customHeight="false" outlineLevel="0" collapsed="false">
      <c r="A167" s="10"/>
      <c r="B167" s="8" t="n">
        <v>71</v>
      </c>
      <c r="C167" s="7" t="s">
        <v>56</v>
      </c>
      <c r="D167" s="8" t="s">
        <v>109</v>
      </c>
      <c r="E167" s="7" t="s">
        <v>108</v>
      </c>
      <c r="F167" s="7"/>
      <c r="G167" s="8"/>
      <c r="H167" s="8"/>
      <c r="I167" s="9" t="n">
        <v>0.0422916666666667</v>
      </c>
      <c r="J167" s="12" t="n">
        <f aca="false">VALUE(SUBSTITUTE($A$101,"miles",""))/(I167*24)</f>
        <v>24.6305418719212</v>
      </c>
    </row>
    <row r="168" customFormat="false" ht="15" hidden="false" customHeight="false" outlineLevel="0" collapsed="false">
      <c r="A168" s="10"/>
      <c r="B168" s="8" t="n">
        <v>71</v>
      </c>
      <c r="C168" s="7" t="s">
        <v>48</v>
      </c>
      <c r="D168" s="8" t="n">
        <v>1998</v>
      </c>
      <c r="E168" s="7"/>
      <c r="F168" s="7"/>
      <c r="G168" s="8"/>
      <c r="H168" s="8"/>
      <c r="I168" s="9" t="n">
        <v>0.0444212962962963</v>
      </c>
      <c r="J168" s="12" t="n">
        <f aca="false">VALUE(SUBSTITUTE($A$101,"miles",""))/(I168*24)</f>
        <v>23.4497133923919</v>
      </c>
    </row>
    <row r="169" customFormat="false" ht="15" hidden="false" customHeight="false" outlineLevel="0" collapsed="false">
      <c r="A169" s="7"/>
      <c r="B169" s="8" t="n">
        <v>72</v>
      </c>
      <c r="C169" s="7" t="s">
        <v>46</v>
      </c>
      <c r="D169" s="18" t="n">
        <v>0.0891203703703704</v>
      </c>
      <c r="E169" s="7" t="s">
        <v>110</v>
      </c>
      <c r="F169" s="7"/>
      <c r="G169" s="8"/>
      <c r="H169" s="8"/>
      <c r="I169" s="9" t="n">
        <v>0.0426967592592593</v>
      </c>
      <c r="J169" s="12" t="n">
        <f aca="false">VALUE(SUBSTITUTE($A$101,"miles",""))/(I169*24)</f>
        <v>24.3968555164001</v>
      </c>
    </row>
    <row r="170" customFormat="false" ht="15" hidden="false" customHeight="false" outlineLevel="0" collapsed="false">
      <c r="A170" s="7"/>
      <c r="B170" s="8" t="n">
        <v>72</v>
      </c>
      <c r="C170" s="7" t="s">
        <v>46</v>
      </c>
      <c r="D170" s="18" t="n">
        <v>0.0891203703703704</v>
      </c>
      <c r="E170" s="7" t="s">
        <v>110</v>
      </c>
      <c r="F170" s="7"/>
      <c r="G170" s="8"/>
      <c r="H170" s="8"/>
      <c r="I170" s="9" t="n">
        <v>0.0426967592592593</v>
      </c>
      <c r="J170" s="12" t="n">
        <f aca="false">VALUE(SUBSTITUTE($A$101,"miles",""))/(I170*24)</f>
        <v>24.3968555164001</v>
      </c>
    </row>
    <row r="171" customFormat="false" ht="15" hidden="false" customHeight="false" outlineLevel="0" collapsed="false">
      <c r="A171" s="10"/>
      <c r="B171" s="8" t="n">
        <v>72</v>
      </c>
      <c r="C171" s="7" t="s">
        <v>56</v>
      </c>
      <c r="D171" s="8" t="s">
        <v>111</v>
      </c>
      <c r="E171" s="7" t="s">
        <v>84</v>
      </c>
      <c r="F171" s="7"/>
      <c r="G171" s="8"/>
      <c r="H171" s="8"/>
      <c r="I171" s="9" t="n">
        <v>0.042962962962963</v>
      </c>
      <c r="J171" s="12" t="n">
        <f aca="false">VALUE(SUBSTITUTE($A$101,"miles",""))/(I171*24)</f>
        <v>24.2456896551724</v>
      </c>
    </row>
    <row r="172" customFormat="false" ht="15" hidden="false" customHeight="false" outlineLevel="0" collapsed="false">
      <c r="A172" s="7"/>
      <c r="B172" s="8" t="n">
        <v>73</v>
      </c>
      <c r="C172" s="7" t="s">
        <v>46</v>
      </c>
      <c r="D172" s="18" t="s">
        <v>112</v>
      </c>
      <c r="E172" s="7" t="s">
        <v>113</v>
      </c>
      <c r="F172" s="7"/>
      <c r="G172" s="8"/>
      <c r="H172" s="8"/>
      <c r="I172" s="9" t="n">
        <v>0.0405439814814815</v>
      </c>
      <c r="J172" s="12" t="n">
        <f aca="false">VALUE(SUBSTITUTE($A$101,"miles",""))/(I172*24)</f>
        <v>25.6922637739081</v>
      </c>
    </row>
    <row r="173" customFormat="false" ht="15" hidden="false" customHeight="false" outlineLevel="0" collapsed="false">
      <c r="A173" s="10"/>
      <c r="B173" s="8" t="n">
        <v>73</v>
      </c>
      <c r="C173" s="7" t="s">
        <v>56</v>
      </c>
      <c r="D173" s="8" t="n">
        <v>2003</v>
      </c>
      <c r="E173" s="7"/>
      <c r="F173" s="7"/>
      <c r="G173" s="8"/>
      <c r="H173" s="8"/>
      <c r="I173" s="9" t="n">
        <v>0.0453125</v>
      </c>
      <c r="J173" s="12" t="n">
        <f aca="false">VALUE(SUBSTITUTE($A$101,"miles",""))/(I173*24)</f>
        <v>22.9885057471264</v>
      </c>
    </row>
    <row r="174" customFormat="false" ht="15" hidden="false" customHeight="false" outlineLevel="0" collapsed="false">
      <c r="A174" s="10"/>
      <c r="B174" s="8" t="n">
        <v>73</v>
      </c>
      <c r="C174" s="7" t="s">
        <v>48</v>
      </c>
      <c r="D174" s="8" t="n">
        <v>2000</v>
      </c>
      <c r="E174" s="7"/>
      <c r="F174" s="7"/>
      <c r="G174" s="8"/>
      <c r="H174" s="8"/>
      <c r="I174" s="9" t="n">
        <v>0.0454050925925926</v>
      </c>
      <c r="J174" s="12" t="n">
        <f aca="false">VALUE(SUBSTITUTE($A$101,"miles",""))/(I174*24)</f>
        <v>22.9416263063982</v>
      </c>
    </row>
    <row r="175" customFormat="false" ht="15" hidden="false" customHeight="false" outlineLevel="0" collapsed="false">
      <c r="A175" s="7"/>
      <c r="B175" s="8" t="n">
        <v>74</v>
      </c>
      <c r="C175" s="7" t="s">
        <v>46</v>
      </c>
      <c r="D175" s="18" t="n">
        <v>0.587060185185185</v>
      </c>
      <c r="E175" s="7" t="s">
        <v>114</v>
      </c>
      <c r="F175" s="7"/>
      <c r="G175" s="8"/>
      <c r="H175" s="8"/>
      <c r="I175" s="9" t="n">
        <v>0.0406597222222222</v>
      </c>
      <c r="J175" s="12" t="n">
        <f aca="false">VALUE(SUBSTITUTE($A$101,"miles",""))/(I175*24)</f>
        <v>25.6191289496157</v>
      </c>
    </row>
    <row r="176" customFormat="false" ht="15" hidden="false" customHeight="false" outlineLevel="0" collapsed="false">
      <c r="A176" s="10"/>
      <c r="B176" s="8" t="n">
        <v>74</v>
      </c>
      <c r="C176" s="7" t="s">
        <v>56</v>
      </c>
      <c r="D176" s="8" t="n">
        <v>2005</v>
      </c>
      <c r="E176" s="7"/>
      <c r="F176" s="7"/>
      <c r="G176" s="8"/>
      <c r="H176" s="8"/>
      <c r="I176" s="9" t="n">
        <v>0.0441203703703704</v>
      </c>
      <c r="J176" s="12" t="n">
        <f aca="false">VALUE(SUBSTITUTE($A$101,"miles",""))/(I176*24)</f>
        <v>23.6096537250787</v>
      </c>
    </row>
    <row r="177" customFormat="false" ht="15" hidden="false" customHeight="false" outlineLevel="0" collapsed="false">
      <c r="A177" s="10"/>
      <c r="B177" s="8" t="n">
        <v>75</v>
      </c>
      <c r="C177" s="7" t="s">
        <v>46</v>
      </c>
      <c r="D177" s="18" t="s">
        <v>115</v>
      </c>
      <c r="E177" s="7" t="s">
        <v>84</v>
      </c>
      <c r="F177" s="7"/>
      <c r="G177" s="9"/>
      <c r="H177" s="12" t="s">
        <v>19</v>
      </c>
      <c r="I177" s="9" t="n">
        <v>0.0403819444444444</v>
      </c>
      <c r="J177" s="12" t="n">
        <f aca="false">VALUE(SUBSTITUTE($A$101,"miles",""))/(I177*24)</f>
        <v>25.7953568357696</v>
      </c>
    </row>
    <row r="178" customFormat="false" ht="15" hidden="false" customHeight="false" outlineLevel="0" collapsed="false">
      <c r="A178" s="7"/>
      <c r="B178" s="8" t="n">
        <v>75</v>
      </c>
      <c r="C178" s="7" t="s">
        <v>56</v>
      </c>
      <c r="D178" s="8" t="s">
        <v>116</v>
      </c>
      <c r="E178" s="7" t="s">
        <v>84</v>
      </c>
      <c r="F178" s="7"/>
      <c r="G178" s="8"/>
      <c r="H178" s="8"/>
      <c r="I178" s="9" t="n">
        <v>0.0432407407407407</v>
      </c>
      <c r="J178" s="12" t="n">
        <f aca="false">VALUE(SUBSTITUTE($A$101,"miles",""))/(I178*24)</f>
        <v>24.0899357601713</v>
      </c>
    </row>
    <row r="179" customFormat="false" ht="15" hidden="false" customHeight="false" outlineLevel="0" collapsed="false">
      <c r="A179" s="7"/>
      <c r="B179" s="13" t="n">
        <v>76</v>
      </c>
      <c r="C179" s="10" t="s">
        <v>46</v>
      </c>
      <c r="D179" s="13" t="s">
        <v>117</v>
      </c>
      <c r="E179" s="10" t="s">
        <v>99</v>
      </c>
      <c r="F179" s="10"/>
      <c r="G179" s="13"/>
      <c r="H179" s="13" t="s">
        <v>39</v>
      </c>
      <c r="I179" s="11" t="n">
        <v>0.0403125</v>
      </c>
      <c r="J179" s="14" t="n">
        <f aca="false">VALUE(SUBSTITUTE($A$101,"miles",""))/(I179*24)</f>
        <v>25.8397932816537</v>
      </c>
    </row>
    <row r="180" customFormat="false" ht="15" hidden="false" customHeight="false" outlineLevel="0" collapsed="false">
      <c r="A180" s="10"/>
      <c r="B180" s="8" t="n">
        <v>76</v>
      </c>
      <c r="C180" s="7" t="s">
        <v>56</v>
      </c>
      <c r="D180" s="8" t="s">
        <v>118</v>
      </c>
      <c r="E180" s="7" t="s">
        <v>84</v>
      </c>
      <c r="F180" s="7"/>
      <c r="G180" s="8"/>
      <c r="H180" s="8" t="s">
        <v>19</v>
      </c>
      <c r="I180" s="9" t="n">
        <v>0.0438657407407407</v>
      </c>
      <c r="J180" s="12" t="n">
        <f aca="false">VALUE(SUBSTITUTE($A$101,"miles",""))/(I180*24)</f>
        <v>23.7467018469657</v>
      </c>
    </row>
    <row r="181" customFormat="false" ht="15" hidden="false" customHeight="false" outlineLevel="0" collapsed="false">
      <c r="A181" s="10"/>
      <c r="B181" s="8" t="n">
        <v>76</v>
      </c>
      <c r="C181" s="7" t="s">
        <v>56</v>
      </c>
      <c r="D181" s="8" t="n">
        <v>2007</v>
      </c>
      <c r="E181" s="7"/>
      <c r="F181" s="7"/>
      <c r="G181" s="8"/>
      <c r="H181" s="8"/>
      <c r="I181" s="9" t="n">
        <v>0.0460185185185185</v>
      </c>
      <c r="J181" s="12" t="n">
        <f aca="false">VALUE(SUBSTITUTE($A$101,"miles",""))/(I181*24)</f>
        <v>22.635814889336</v>
      </c>
    </row>
    <row r="182" customFormat="false" ht="15" hidden="false" customHeight="false" outlineLevel="0" collapsed="false">
      <c r="A182" s="10"/>
      <c r="B182" s="8" t="n">
        <v>77</v>
      </c>
      <c r="C182" s="7" t="s">
        <v>56</v>
      </c>
      <c r="D182" s="8" t="n">
        <v>2008</v>
      </c>
      <c r="E182" s="7"/>
      <c r="F182" s="7"/>
      <c r="G182" s="8"/>
      <c r="H182" s="8"/>
      <c r="I182" s="9" t="n">
        <v>0.0450925925925926</v>
      </c>
      <c r="J182" s="12" t="n">
        <f aca="false">VALUE(SUBSTITUTE($A$101,"miles",""))/(I182*24)</f>
        <v>23.1006160164271</v>
      </c>
    </row>
    <row r="183" customFormat="false" ht="15" hidden="false" customHeight="false" outlineLevel="0" collapsed="false">
      <c r="A183" s="10"/>
      <c r="B183" s="8" t="n">
        <v>78</v>
      </c>
      <c r="C183" s="7" t="s">
        <v>56</v>
      </c>
      <c r="D183" s="8" t="n">
        <v>2009</v>
      </c>
      <c r="E183" s="7"/>
      <c r="F183" s="7"/>
      <c r="G183" s="8"/>
      <c r="H183" s="8"/>
      <c r="I183" s="9" t="n">
        <v>0.044837962962963</v>
      </c>
      <c r="J183" s="12" t="n">
        <f aca="false">VALUE(SUBSTITUTE($A$101,"miles",""))/(I183*24)</f>
        <v>23.2318017552917</v>
      </c>
    </row>
    <row r="184" customFormat="false" ht="15" hidden="false" customHeight="false" outlineLevel="0" collapsed="false">
      <c r="A184" s="10"/>
      <c r="B184" s="13" t="n">
        <v>79</v>
      </c>
      <c r="C184" s="10" t="s">
        <v>56</v>
      </c>
      <c r="D184" s="13" t="s">
        <v>119</v>
      </c>
      <c r="E184" s="10" t="s">
        <v>84</v>
      </c>
      <c r="F184" s="10"/>
      <c r="G184" s="8"/>
      <c r="H184" s="8"/>
      <c r="I184" s="11" t="n">
        <v>0.0445949074074074</v>
      </c>
      <c r="J184" s="14" t="n">
        <f aca="false">VALUE(SUBSTITUTE($A$101,"miles",""))/(I184*24)</f>
        <v>23.3584220088243</v>
      </c>
    </row>
    <row r="185" customFormat="false" ht="15" hidden="false" customHeight="false" outlineLevel="0" collapsed="false">
      <c r="A185" s="10"/>
      <c r="B185" s="8" t="n">
        <v>79</v>
      </c>
      <c r="C185" s="7" t="s">
        <v>56</v>
      </c>
      <c r="D185" s="8" t="n">
        <v>2010</v>
      </c>
      <c r="E185" s="7"/>
      <c r="F185" s="7"/>
      <c r="G185" s="8"/>
      <c r="H185" s="8"/>
      <c r="I185" s="9" t="n">
        <v>0.0446759259259259</v>
      </c>
      <c r="J185" s="12" t="n">
        <f aca="false">VALUE(SUBSTITUTE($A$101,"miles",""))/(I185*24)</f>
        <v>23.3160621761658</v>
      </c>
    </row>
    <row r="186" customFormat="false" ht="15" hidden="false" customHeight="false" outlineLevel="0" collapsed="false">
      <c r="A186" s="10"/>
      <c r="B186" s="8" t="n">
        <v>81</v>
      </c>
      <c r="C186" s="7" t="s">
        <v>29</v>
      </c>
      <c r="D186" s="8" t="n">
        <v>2002</v>
      </c>
      <c r="E186" s="7"/>
      <c r="F186" s="7"/>
      <c r="G186" s="8"/>
      <c r="H186" s="8" t="s">
        <v>19</v>
      </c>
      <c r="I186" s="9" t="n">
        <v>0.0606944444444444</v>
      </c>
      <c r="J186" s="12" t="n">
        <f aca="false">VALUE(SUBSTITUTE($A$101,"miles",""))/(I186*24)</f>
        <v>17.162471395881</v>
      </c>
    </row>
    <row r="187" customFormat="false" ht="15" hidden="false" customHeight="false" outlineLevel="0" collapsed="false">
      <c r="A187" s="10"/>
      <c r="B187" s="13" t="n">
        <v>82</v>
      </c>
      <c r="C187" s="10" t="s">
        <v>56</v>
      </c>
      <c r="D187" s="13" t="s">
        <v>120</v>
      </c>
      <c r="E187" s="10" t="s">
        <v>84</v>
      </c>
      <c r="F187" s="10"/>
      <c r="G187" s="8"/>
      <c r="H187" s="8"/>
      <c r="I187" s="11" t="n">
        <v>0.0456712962962963</v>
      </c>
      <c r="J187" s="14" t="n">
        <f aca="false">VALUE(SUBSTITUTE($A$101,"miles",""))/(I187*24)</f>
        <v>22.8079067410035</v>
      </c>
    </row>
    <row r="188" customFormat="false" ht="15" hidden="false" customHeight="false" outlineLevel="0" collapsed="false">
      <c r="A188" s="10"/>
      <c r="B188" s="8" t="n">
        <v>82</v>
      </c>
      <c r="C188" s="7" t="s">
        <v>29</v>
      </c>
      <c r="D188" s="8" t="n">
        <v>2003</v>
      </c>
      <c r="E188" s="7"/>
      <c r="F188" s="7"/>
      <c r="G188" s="8"/>
      <c r="H188" s="8" t="s">
        <v>19</v>
      </c>
      <c r="I188" s="9" t="n">
        <v>0.062025462962963</v>
      </c>
      <c r="J188" s="12" t="n">
        <f aca="false">VALUE(SUBSTITUTE($A$101,"miles",""))/(I188*24)</f>
        <v>16.794178018287</v>
      </c>
    </row>
    <row r="189" customFormat="false" ht="9" hidden="false" customHeight="true" outlineLevel="0" collapsed="false">
      <c r="A189" s="10"/>
      <c r="B189" s="8"/>
      <c r="C189" s="7"/>
      <c r="D189" s="8"/>
      <c r="E189" s="7"/>
      <c r="F189" s="7"/>
      <c r="G189" s="8"/>
      <c r="H189" s="8"/>
      <c r="I189" s="9"/>
      <c r="J189" s="9"/>
    </row>
    <row r="190" customFormat="false" ht="15" hidden="false" customHeight="false" outlineLevel="0" collapsed="false">
      <c r="A190" s="10" t="s">
        <v>121</v>
      </c>
      <c r="B190" s="8" t="n">
        <v>44</v>
      </c>
      <c r="C190" s="7" t="s">
        <v>122</v>
      </c>
      <c r="D190" s="8" t="n">
        <v>1987</v>
      </c>
      <c r="E190" s="7"/>
      <c r="F190" s="7"/>
      <c r="G190" s="8"/>
      <c r="H190" s="8"/>
      <c r="I190" s="9" t="n">
        <v>0.0489236111111111</v>
      </c>
      <c r="J190" s="12" t="n">
        <f aca="false">VALUE(SUBSTITUTE($A$190,"miles",""))/(I190*24)</f>
        <v>25.5500354861604</v>
      </c>
    </row>
    <row r="191" customFormat="false" ht="15" hidden="false" customHeight="false" outlineLevel="0" collapsed="false">
      <c r="A191" s="10"/>
      <c r="B191" s="8" t="n">
        <v>46</v>
      </c>
      <c r="C191" s="7" t="s">
        <v>15</v>
      </c>
      <c r="D191" s="8" t="n">
        <v>1986</v>
      </c>
      <c r="E191" s="7"/>
      <c r="F191" s="7"/>
      <c r="G191" s="8"/>
      <c r="H191" s="8"/>
      <c r="I191" s="9" t="n">
        <v>0.0496759259259259</v>
      </c>
      <c r="J191" s="12" t="n">
        <f aca="false">VALUE(SUBSTITUTE($A$190,"miles",""))/(I191*24)</f>
        <v>25.1630941286114</v>
      </c>
    </row>
    <row r="192" customFormat="false" ht="15" hidden="false" customHeight="false" outlineLevel="0" collapsed="false">
      <c r="A192" s="10"/>
      <c r="B192" s="8" t="n">
        <v>48</v>
      </c>
      <c r="C192" s="7" t="s">
        <v>16</v>
      </c>
      <c r="D192" s="8" t="n">
        <v>1984</v>
      </c>
      <c r="E192" s="7"/>
      <c r="F192" s="7"/>
      <c r="G192" s="8"/>
      <c r="H192" s="8"/>
      <c r="I192" s="9" t="n">
        <v>0.0549305555555556</v>
      </c>
      <c r="J192" s="12" t="n">
        <f aca="false">VALUE(SUBSTITUTE($A$190,"miles",""))/(I192*24)</f>
        <v>22.75600505689</v>
      </c>
    </row>
    <row r="193" customFormat="false" ht="15" hidden="false" customHeight="false" outlineLevel="0" collapsed="false">
      <c r="A193" s="10"/>
      <c r="B193" s="8" t="n">
        <v>49</v>
      </c>
      <c r="C193" s="7" t="s">
        <v>15</v>
      </c>
      <c r="D193" s="8" t="n">
        <v>1989</v>
      </c>
      <c r="E193" s="7"/>
      <c r="F193" s="7"/>
      <c r="G193" s="8"/>
      <c r="H193" s="8" t="s">
        <v>19</v>
      </c>
      <c r="I193" s="9" t="n">
        <v>0.0461111111111111</v>
      </c>
      <c r="J193" s="12" t="n">
        <f aca="false">VALUE(SUBSTITUTE($A$190,"miles",""))/(I193*24)</f>
        <v>27.1084337349398</v>
      </c>
    </row>
    <row r="194" customFormat="false" ht="15" hidden="false" customHeight="false" outlineLevel="0" collapsed="false">
      <c r="A194" s="10"/>
      <c r="B194" s="8" t="n">
        <v>49</v>
      </c>
      <c r="C194" s="7" t="s">
        <v>16</v>
      </c>
      <c r="D194" s="8" t="n">
        <v>1985</v>
      </c>
      <c r="E194" s="7"/>
      <c r="F194" s="7"/>
      <c r="G194" s="8"/>
      <c r="H194" s="8"/>
      <c r="I194" s="9" t="n">
        <v>0.0527314814814815</v>
      </c>
      <c r="J194" s="12" t="n">
        <f aca="false">VALUE(SUBSTITUTE($A$190,"miles",""))/(I194*24)</f>
        <v>23.7050043898156</v>
      </c>
    </row>
    <row r="195" customFormat="false" ht="15" hidden="false" customHeight="false" outlineLevel="0" collapsed="false">
      <c r="A195" s="10"/>
      <c r="B195" s="8" t="n">
        <v>50</v>
      </c>
      <c r="C195" s="7" t="s">
        <v>16</v>
      </c>
      <c r="D195" s="8" t="n">
        <v>1986</v>
      </c>
      <c r="E195" s="7"/>
      <c r="F195" s="7"/>
      <c r="G195" s="8"/>
      <c r="H195" s="8"/>
      <c r="I195" s="9" t="n">
        <v>0.0532407407407407</v>
      </c>
      <c r="J195" s="12" t="n">
        <f aca="false">VALUE(SUBSTITUTE($A$190,"miles",""))/(I195*24)</f>
        <v>23.4782608695652</v>
      </c>
    </row>
    <row r="196" customFormat="false" ht="15" hidden="false" customHeight="false" outlineLevel="0" collapsed="false">
      <c r="A196" s="10"/>
      <c r="B196" s="8" t="n">
        <v>51</v>
      </c>
      <c r="C196" s="7" t="s">
        <v>15</v>
      </c>
      <c r="D196" s="8" t="n">
        <v>1991</v>
      </c>
      <c r="E196" s="7"/>
      <c r="F196" s="7"/>
      <c r="G196" s="8"/>
      <c r="H196" s="8"/>
      <c r="I196" s="9" t="n">
        <v>0.0472916666666667</v>
      </c>
      <c r="J196" s="12" t="n">
        <f aca="false">VALUE(SUBSTITUTE($A$190,"miles",""))/(I196*24)</f>
        <v>26.431718061674</v>
      </c>
    </row>
    <row r="197" customFormat="false" ht="15" hidden="false" customHeight="false" outlineLevel="0" collapsed="false">
      <c r="A197" s="10"/>
      <c r="B197" s="8" t="n">
        <v>51</v>
      </c>
      <c r="C197" s="7" t="s">
        <v>16</v>
      </c>
      <c r="D197" s="8" t="n">
        <v>1987</v>
      </c>
      <c r="E197" s="7"/>
      <c r="F197" s="7"/>
      <c r="G197" s="8"/>
      <c r="H197" s="8"/>
      <c r="I197" s="9" t="n">
        <v>0.049212962962963</v>
      </c>
      <c r="J197" s="12" t="n">
        <f aca="false">VALUE(SUBSTITUTE($A$190,"miles",""))/(I197*24)</f>
        <v>25.3998118532455</v>
      </c>
    </row>
    <row r="198" customFormat="false" ht="15" hidden="false" customHeight="false" outlineLevel="0" collapsed="false">
      <c r="A198" s="10"/>
      <c r="B198" s="8" t="n">
        <v>52</v>
      </c>
      <c r="C198" s="7" t="s">
        <v>12</v>
      </c>
      <c r="D198" s="8" t="n">
        <v>1989</v>
      </c>
      <c r="E198" s="7"/>
      <c r="F198" s="7"/>
      <c r="G198" s="8"/>
      <c r="H198" s="8"/>
      <c r="I198" s="9" t="n">
        <v>0.0478125</v>
      </c>
      <c r="J198" s="12" t="n">
        <f aca="false">VALUE(SUBSTITUTE($A$190,"miles",""))/(I198*24)</f>
        <v>26.1437908496732</v>
      </c>
    </row>
    <row r="199" customFormat="false" ht="15" hidden="false" customHeight="false" outlineLevel="0" collapsed="false">
      <c r="A199" s="10"/>
      <c r="B199" s="8" t="n">
        <v>52</v>
      </c>
      <c r="C199" s="7" t="s">
        <v>123</v>
      </c>
      <c r="D199" s="8" t="n">
        <v>1988</v>
      </c>
      <c r="E199" s="7"/>
      <c r="F199" s="7"/>
      <c r="G199" s="8"/>
      <c r="H199" s="8"/>
      <c r="I199" s="9" t="n">
        <v>0.0520833333333333</v>
      </c>
      <c r="J199" s="12" t="n">
        <f aca="false">VALUE(SUBSTITUTE($A$190,"miles",""))/(I199*24)</f>
        <v>24</v>
      </c>
    </row>
    <row r="200" customFormat="false" ht="15" hidden="false" customHeight="false" outlineLevel="0" collapsed="false">
      <c r="A200" s="10"/>
      <c r="B200" s="8" t="n">
        <v>54</v>
      </c>
      <c r="C200" s="7" t="s">
        <v>13</v>
      </c>
      <c r="D200" s="8" t="s">
        <v>124</v>
      </c>
      <c r="E200" s="7" t="s">
        <v>125</v>
      </c>
      <c r="F200" s="7"/>
      <c r="G200" s="8"/>
      <c r="H200" s="8" t="s">
        <v>19</v>
      </c>
      <c r="I200" s="9" t="n">
        <v>0.0430555555555556</v>
      </c>
      <c r="J200" s="12" t="n">
        <f aca="false">VALUE(SUBSTITUTE($A$190,"miles",""))/(I200*24)</f>
        <v>29.0322580645161</v>
      </c>
    </row>
    <row r="201" customFormat="false" ht="15" hidden="false" customHeight="false" outlineLevel="0" collapsed="false">
      <c r="A201" s="10"/>
      <c r="B201" s="8" t="n">
        <v>54</v>
      </c>
      <c r="C201" s="7" t="s">
        <v>16</v>
      </c>
      <c r="D201" s="8" t="n">
        <v>1990</v>
      </c>
      <c r="E201" s="7"/>
      <c r="F201" s="7"/>
      <c r="G201" s="8"/>
      <c r="H201" s="8"/>
      <c r="I201" s="9" t="n">
        <v>0.0539930555555556</v>
      </c>
      <c r="J201" s="12" t="n">
        <f aca="false">VALUE(SUBSTITUTE($A$190,"miles",""))/(I201*24)</f>
        <v>23.1511254019292</v>
      </c>
    </row>
    <row r="202" customFormat="false" ht="15" hidden="false" customHeight="false" outlineLevel="0" collapsed="false">
      <c r="A202" s="10"/>
      <c r="B202" s="8" t="n">
        <v>56</v>
      </c>
      <c r="C202" s="7" t="s">
        <v>13</v>
      </c>
      <c r="D202" s="8" t="n">
        <v>2008</v>
      </c>
      <c r="E202" s="7"/>
      <c r="F202" s="7"/>
      <c r="G202" s="8"/>
      <c r="H202" s="8" t="s">
        <v>19</v>
      </c>
      <c r="I202" s="9" t="n">
        <v>0.0451041666666667</v>
      </c>
      <c r="J202" s="12" t="n">
        <f aca="false">VALUE(SUBSTITUTE($A$190,"miles",""))/(I202*24)</f>
        <v>27.7136258660508</v>
      </c>
    </row>
    <row r="203" customFormat="false" ht="15" hidden="false" customHeight="false" outlineLevel="0" collapsed="false">
      <c r="A203" s="10"/>
      <c r="B203" s="8" t="n">
        <v>56</v>
      </c>
      <c r="C203" s="7" t="s">
        <v>16</v>
      </c>
      <c r="D203" s="8" t="n">
        <v>1991</v>
      </c>
      <c r="E203" s="7"/>
      <c r="F203" s="7"/>
      <c r="G203" s="8"/>
      <c r="H203" s="8"/>
      <c r="I203" s="9" t="n">
        <v>0.0478356481481482</v>
      </c>
      <c r="J203" s="12" t="n">
        <f aca="false">VALUE(SUBSTITUTE($A$190,"miles",""))/(I203*24)</f>
        <v>26.1311396080329</v>
      </c>
    </row>
    <row r="204" customFormat="false" ht="15" hidden="false" customHeight="false" outlineLevel="0" collapsed="false">
      <c r="A204" s="10"/>
      <c r="B204" s="8" t="n">
        <v>57</v>
      </c>
      <c r="C204" s="7" t="s">
        <v>13</v>
      </c>
      <c r="D204" s="8" t="n">
        <v>2009</v>
      </c>
      <c r="E204" s="7"/>
      <c r="F204" s="7"/>
      <c r="G204" s="8"/>
      <c r="H204" s="8" t="s">
        <v>19</v>
      </c>
      <c r="I204" s="9" t="n">
        <v>0.0453472222222222</v>
      </c>
      <c r="J204" s="12" t="n">
        <f aca="false">VALUE(SUBSTITUTE($A$190,"miles",""))/(I204*24)</f>
        <v>27.5650842266463</v>
      </c>
    </row>
    <row r="205" customFormat="false" ht="15" hidden="false" customHeight="false" outlineLevel="0" collapsed="false">
      <c r="A205" s="10"/>
      <c r="B205" s="13" t="n">
        <v>58</v>
      </c>
      <c r="C205" s="10" t="s">
        <v>23</v>
      </c>
      <c r="D205" s="13" t="s">
        <v>126</v>
      </c>
      <c r="E205" s="10" t="s">
        <v>127</v>
      </c>
      <c r="F205" s="10" t="s">
        <v>128</v>
      </c>
      <c r="G205" s="13"/>
      <c r="H205" s="13"/>
      <c r="I205" s="11" t="n">
        <v>0.0429050925925926</v>
      </c>
      <c r="J205" s="14" t="n">
        <f aca="false">VALUE(SUBSTITUTE($A$190,"miles",""))/(I205*24)</f>
        <v>29.1340706770974</v>
      </c>
    </row>
    <row r="206" customFormat="false" ht="15" hidden="false" customHeight="false" outlineLevel="0" collapsed="false">
      <c r="A206" s="10"/>
      <c r="B206" s="8" t="n">
        <v>58</v>
      </c>
      <c r="C206" s="7" t="s">
        <v>29</v>
      </c>
      <c r="D206" s="8" t="n">
        <v>1979</v>
      </c>
      <c r="E206" s="7"/>
      <c r="F206" s="7"/>
      <c r="G206" s="8"/>
      <c r="H206" s="8"/>
      <c r="I206" s="9" t="n">
        <v>0.0571064814814815</v>
      </c>
      <c r="J206" s="12" t="n">
        <f aca="false">VALUE(SUBSTITUTE($A$190,"miles",""))/(I206*24)</f>
        <v>21.8889339278476</v>
      </c>
    </row>
    <row r="207" customFormat="false" ht="15" hidden="false" customHeight="false" outlineLevel="0" collapsed="false">
      <c r="A207" s="10"/>
      <c r="B207" s="8" t="n">
        <v>60</v>
      </c>
      <c r="C207" s="7" t="s">
        <v>29</v>
      </c>
      <c r="D207" s="8" t="n">
        <v>1981</v>
      </c>
      <c r="E207" s="7"/>
      <c r="F207" s="7"/>
      <c r="G207" s="8"/>
      <c r="H207" s="8"/>
      <c r="I207" s="9" t="n">
        <v>0.0587152777777778</v>
      </c>
      <c r="J207" s="12" t="n">
        <f aca="false">VALUE(SUBSTITUTE($A$190,"miles",""))/(I207*24)</f>
        <v>21.2891780011827</v>
      </c>
    </row>
    <row r="208" customFormat="false" ht="15" hidden="false" customHeight="false" outlineLevel="0" collapsed="false">
      <c r="A208" s="10"/>
      <c r="B208" s="8" t="n">
        <v>61</v>
      </c>
      <c r="C208" s="7" t="s">
        <v>13</v>
      </c>
      <c r="D208" s="8" t="s">
        <v>129</v>
      </c>
      <c r="E208" s="7" t="s">
        <v>125</v>
      </c>
      <c r="F208" s="7"/>
      <c r="G208" s="8"/>
      <c r="H208" s="8"/>
      <c r="I208" s="9" t="n">
        <v>0.0437037037037037</v>
      </c>
      <c r="J208" s="12" t="n">
        <f aca="false">VALUE(SUBSTITUTE($A$190,"miles",""))/(I208*24)</f>
        <v>28.6016949152542</v>
      </c>
    </row>
    <row r="209" customFormat="false" ht="15" hidden="false" customHeight="false" outlineLevel="0" collapsed="false">
      <c r="A209" s="10"/>
      <c r="B209" s="8" t="n">
        <v>61</v>
      </c>
      <c r="C209" s="7" t="s">
        <v>29</v>
      </c>
      <c r="D209" s="8" t="n">
        <v>1982</v>
      </c>
      <c r="E209" s="7"/>
      <c r="F209" s="7"/>
      <c r="G209" s="8"/>
      <c r="H209" s="8"/>
      <c r="I209" s="9" t="n">
        <v>0.0582638888888889</v>
      </c>
      <c r="J209" s="12" t="n">
        <f aca="false">VALUE(SUBSTITUTE($A$190,"miles",""))/(I209*24)</f>
        <v>21.4541120381406</v>
      </c>
    </row>
    <row r="210" customFormat="false" ht="15" hidden="false" customHeight="false" outlineLevel="0" collapsed="false">
      <c r="A210" s="10"/>
      <c r="B210" s="8" t="n">
        <v>62</v>
      </c>
      <c r="C210" s="7" t="s">
        <v>33</v>
      </c>
      <c r="D210" s="8" t="s">
        <v>130</v>
      </c>
      <c r="E210" s="7" t="s">
        <v>125</v>
      </c>
      <c r="F210" s="7"/>
      <c r="G210" s="8"/>
      <c r="H210" s="8" t="s">
        <v>19</v>
      </c>
      <c r="I210" s="9" t="n">
        <v>0.0439351851851852</v>
      </c>
      <c r="J210" s="12" t="n">
        <f aca="false">VALUE(SUBSTITUTE($A$190,"miles",""))/(I210*24)</f>
        <v>28.4510010537408</v>
      </c>
    </row>
    <row r="211" customFormat="false" ht="15" hidden="false" customHeight="false" outlineLevel="0" collapsed="false">
      <c r="A211" s="10"/>
      <c r="B211" s="8" t="n">
        <v>62</v>
      </c>
      <c r="C211" s="7" t="s">
        <v>32</v>
      </c>
      <c r="D211" s="8" t="n">
        <v>1992</v>
      </c>
      <c r="E211" s="7"/>
      <c r="F211" s="7"/>
      <c r="G211" s="8"/>
      <c r="H211" s="8"/>
      <c r="I211" s="9" t="n">
        <v>0.0565162037037037</v>
      </c>
      <c r="J211" s="12" t="n">
        <f aca="false">VALUE(SUBSTITUTE($A$190,"miles",""))/(I211*24)</f>
        <v>22.1175506860537</v>
      </c>
    </row>
    <row r="212" customFormat="false" ht="15" hidden="false" customHeight="false" outlineLevel="0" collapsed="false">
      <c r="A212" s="10"/>
      <c r="B212" s="8" t="n">
        <v>62</v>
      </c>
      <c r="C212" s="7" t="s">
        <v>29</v>
      </c>
      <c r="D212" s="8" t="n">
        <v>1983</v>
      </c>
      <c r="E212" s="7"/>
      <c r="F212" s="7"/>
      <c r="G212" s="8"/>
      <c r="H212" s="8"/>
      <c r="I212" s="9" t="n">
        <v>0.0569097222222222</v>
      </c>
      <c r="J212" s="12" t="n">
        <f aca="false">VALUE(SUBSTITUTE($A$190,"miles",""))/(I212*24)</f>
        <v>21.9646125686394</v>
      </c>
    </row>
    <row r="213" customFormat="false" ht="15" hidden="false" customHeight="false" outlineLevel="0" collapsed="false">
      <c r="A213" s="10"/>
      <c r="B213" s="13" t="n">
        <v>63</v>
      </c>
      <c r="C213" s="10" t="s">
        <v>13</v>
      </c>
      <c r="D213" s="13" t="s">
        <v>130</v>
      </c>
      <c r="E213" s="10" t="s">
        <v>125</v>
      </c>
      <c r="F213" s="10"/>
      <c r="G213" s="13" t="s">
        <v>43</v>
      </c>
      <c r="H213" s="13" t="s">
        <v>39</v>
      </c>
      <c r="I213" s="11" t="n">
        <v>0.0432986111111111</v>
      </c>
      <c r="J213" s="14" t="n">
        <f aca="false">VALUE(SUBSTITUTE($A$190,"miles",""))/(I213*24)</f>
        <v>28.869286287089</v>
      </c>
    </row>
    <row r="214" customFormat="false" ht="15" hidden="false" customHeight="false" outlineLevel="0" collapsed="false">
      <c r="A214" s="10"/>
      <c r="B214" s="8" t="n">
        <v>63</v>
      </c>
      <c r="C214" s="7" t="s">
        <v>32</v>
      </c>
      <c r="D214" s="8" t="n">
        <v>1993</v>
      </c>
      <c r="E214" s="7"/>
      <c r="F214" s="7"/>
      <c r="G214" s="8"/>
      <c r="H214" s="8"/>
      <c r="I214" s="9" t="n">
        <v>0.0540509259259259</v>
      </c>
      <c r="J214" s="12" t="n">
        <f aca="false">VALUE(SUBSTITUTE($A$190,"miles",""))/(I214*24)</f>
        <v>23.1263383297645</v>
      </c>
    </row>
    <row r="215" customFormat="false" ht="15" hidden="false" customHeight="false" outlineLevel="0" collapsed="false">
      <c r="A215" s="10"/>
      <c r="B215" s="8" t="n">
        <v>64</v>
      </c>
      <c r="C215" s="7" t="s">
        <v>33</v>
      </c>
      <c r="D215" s="8" t="s">
        <v>131</v>
      </c>
      <c r="E215" s="7" t="s">
        <v>125</v>
      </c>
      <c r="F215" s="7"/>
      <c r="G215" s="8"/>
      <c r="H215" s="8" t="s">
        <v>19</v>
      </c>
      <c r="I215" s="9" t="n">
        <v>0.0440509259259259</v>
      </c>
      <c r="J215" s="12" t="n">
        <f aca="false">VALUE(SUBSTITUTE($A$190,"miles",""))/(I215*24)</f>
        <v>28.3762480294272</v>
      </c>
    </row>
    <row r="216" customFormat="false" ht="15" hidden="false" customHeight="false" outlineLevel="0" collapsed="false">
      <c r="A216" s="10"/>
      <c r="B216" s="13" t="n">
        <v>66</v>
      </c>
      <c r="C216" s="10" t="s">
        <v>13</v>
      </c>
      <c r="D216" s="19" t="n">
        <v>0.923125</v>
      </c>
      <c r="E216" s="10" t="s">
        <v>127</v>
      </c>
      <c r="F216" s="10"/>
      <c r="G216" s="13" t="s">
        <v>43</v>
      </c>
      <c r="H216" s="13" t="s">
        <v>39</v>
      </c>
      <c r="I216" s="11" t="n">
        <v>0.0437384259259259</v>
      </c>
      <c r="J216" s="14" t="n">
        <f aca="false">VALUE(SUBSTITUTE($A$190,"miles",""))/(I216*24)</f>
        <v>28.578989150569</v>
      </c>
    </row>
    <row r="217" customFormat="false" ht="15" hidden="false" customHeight="false" outlineLevel="0" collapsed="false">
      <c r="A217" s="10"/>
      <c r="B217" s="8" t="n">
        <v>66</v>
      </c>
      <c r="C217" s="7" t="s">
        <v>46</v>
      </c>
      <c r="D217" s="8" t="s">
        <v>132</v>
      </c>
      <c r="E217" s="7" t="s">
        <v>133</v>
      </c>
      <c r="F217" s="7"/>
      <c r="G217" s="8"/>
      <c r="H217" s="8"/>
      <c r="I217" s="9" t="n">
        <v>0.049537037037037</v>
      </c>
      <c r="J217" s="12" t="n">
        <f aca="false">VALUE(SUBSTITUTE($A$190,"miles",""))/(I217*24)</f>
        <v>25.2336448598131</v>
      </c>
    </row>
    <row r="218" customFormat="false" ht="15" hidden="false" customHeight="false" outlineLevel="0" collapsed="false">
      <c r="A218" s="10"/>
      <c r="B218" s="8" t="n">
        <v>66</v>
      </c>
      <c r="C218" s="7" t="s">
        <v>56</v>
      </c>
      <c r="D218" s="8" t="n">
        <v>1997</v>
      </c>
      <c r="E218" s="7"/>
      <c r="F218" s="7"/>
      <c r="G218" s="8"/>
      <c r="H218" s="8"/>
      <c r="I218" s="9" t="n">
        <v>0.0548263888888889</v>
      </c>
      <c r="J218" s="12" t="n">
        <f aca="false">VALUE(SUBSTITUTE($A$190,"miles",""))/(I218*24)</f>
        <v>22.7992400253325</v>
      </c>
    </row>
    <row r="219" customFormat="false" ht="15" hidden="false" customHeight="false" outlineLevel="0" collapsed="false">
      <c r="A219" s="10"/>
      <c r="B219" s="8" t="n">
        <v>67</v>
      </c>
      <c r="C219" s="7" t="s">
        <v>56</v>
      </c>
      <c r="D219" s="8" t="n">
        <v>1998</v>
      </c>
      <c r="E219" s="7"/>
      <c r="F219" s="7"/>
      <c r="G219" s="8"/>
      <c r="H219" s="8"/>
      <c r="I219" s="9" t="n">
        <v>0.0528240740740741</v>
      </c>
      <c r="J219" s="12" t="n">
        <f aca="false">VALUE(SUBSTITUTE($A$190,"miles",""))/(I219*24)</f>
        <v>23.6634531113059</v>
      </c>
    </row>
    <row r="220" customFormat="false" ht="15" hidden="false" customHeight="false" outlineLevel="0" collapsed="false">
      <c r="A220" s="10"/>
      <c r="B220" s="13" t="n">
        <v>68</v>
      </c>
      <c r="C220" s="10" t="s">
        <v>33</v>
      </c>
      <c r="D220" s="19" t="s">
        <v>134</v>
      </c>
      <c r="E220" s="10" t="s">
        <v>135</v>
      </c>
      <c r="F220" s="10"/>
      <c r="G220" s="13" t="s">
        <v>43</v>
      </c>
      <c r="H220" s="13" t="s">
        <v>39</v>
      </c>
      <c r="I220" s="11" t="n">
        <v>0.0437615740740741</v>
      </c>
      <c r="J220" s="14" t="n">
        <f aca="false">VALUE(SUBSTITUTE($A$190,"miles",""))/(I220*24)</f>
        <v>28.5638719915366</v>
      </c>
    </row>
    <row r="221" customFormat="false" ht="15" hidden="false" customHeight="false" outlineLevel="0" collapsed="false">
      <c r="A221" s="10"/>
      <c r="B221" s="8" t="n">
        <v>68</v>
      </c>
      <c r="C221" s="7" t="s">
        <v>48</v>
      </c>
      <c r="D221" s="8" t="n">
        <v>1995</v>
      </c>
      <c r="E221" s="7"/>
      <c r="F221" s="7"/>
      <c r="G221" s="8"/>
      <c r="H221" s="8"/>
      <c r="I221" s="9" t="n">
        <v>0.055625</v>
      </c>
      <c r="J221" s="12" t="n">
        <f aca="false">VALUE(SUBSTITUTE($A$190,"miles",""))/(I221*24)</f>
        <v>22.4719101123596</v>
      </c>
    </row>
    <row r="222" customFormat="false" ht="15" hidden="false" customHeight="false" outlineLevel="0" collapsed="false">
      <c r="A222" s="10"/>
      <c r="B222" s="8" t="n">
        <v>69</v>
      </c>
      <c r="C222" s="7" t="s">
        <v>46</v>
      </c>
      <c r="D222" s="18" t="s">
        <v>131</v>
      </c>
      <c r="E222" s="7" t="s">
        <v>125</v>
      </c>
      <c r="F222" s="7"/>
      <c r="G222" s="8"/>
      <c r="H222" s="8"/>
      <c r="I222" s="9" t="n">
        <v>0.0476157407407407</v>
      </c>
      <c r="J222" s="12" t="n">
        <f aca="false">VALUE(SUBSTITUTE($A$190,"miles",""))/(I222*24)</f>
        <v>26.2518230432669</v>
      </c>
    </row>
    <row r="223" customFormat="false" ht="15" hidden="false" customHeight="false" outlineLevel="0" collapsed="false">
      <c r="A223" s="10"/>
      <c r="B223" s="8" t="n">
        <v>69</v>
      </c>
      <c r="C223" s="7" t="s">
        <v>56</v>
      </c>
      <c r="D223" s="8" t="n">
        <v>2000</v>
      </c>
      <c r="E223" s="7"/>
      <c r="F223" s="7"/>
      <c r="G223" s="8"/>
      <c r="H223" s="8"/>
      <c r="I223" s="9" t="n">
        <v>0.0549074074074074</v>
      </c>
      <c r="J223" s="12" t="n">
        <f aca="false">VALUE(SUBSTITUTE($A$190,"miles",""))/(I223*24)</f>
        <v>22.7655986509275</v>
      </c>
    </row>
    <row r="224" customFormat="false" ht="15" hidden="false" customHeight="false" outlineLevel="0" collapsed="false">
      <c r="A224" s="10"/>
      <c r="B224" s="13" t="n">
        <v>70</v>
      </c>
      <c r="C224" s="10" t="s">
        <v>46</v>
      </c>
      <c r="D224" s="19" t="s">
        <v>126</v>
      </c>
      <c r="E224" s="10" t="s">
        <v>127</v>
      </c>
      <c r="F224" s="10"/>
      <c r="G224" s="13" t="s">
        <v>43</v>
      </c>
      <c r="H224" s="13" t="s">
        <v>39</v>
      </c>
      <c r="I224" s="11" t="n">
        <v>0.0444675925925926</v>
      </c>
      <c r="J224" s="14" t="n">
        <f aca="false">VALUE(SUBSTITUTE($A$190,"miles",""))/(I224*24)</f>
        <v>28.1103591879229</v>
      </c>
    </row>
    <row r="225" customFormat="false" ht="15" hidden="false" customHeight="false" outlineLevel="0" collapsed="false">
      <c r="A225" s="10"/>
      <c r="B225" s="8" t="n">
        <v>70</v>
      </c>
      <c r="C225" s="7" t="s">
        <v>56</v>
      </c>
      <c r="D225" s="18" t="s">
        <v>136</v>
      </c>
      <c r="E225" s="7" t="s">
        <v>137</v>
      </c>
      <c r="F225" s="7"/>
      <c r="G225" s="8"/>
      <c r="H225" s="8"/>
      <c r="I225" s="9" t="n">
        <v>0.0523842592592593</v>
      </c>
      <c r="J225" s="12" t="n">
        <f aca="false">VALUE(SUBSTITUTE($A$190,"miles",""))/(I225*24)</f>
        <v>23.8621299160406</v>
      </c>
    </row>
    <row r="226" customFormat="false" ht="15" hidden="false" customHeight="false" outlineLevel="0" collapsed="false">
      <c r="A226" s="10"/>
      <c r="B226" s="13" t="n">
        <v>71</v>
      </c>
      <c r="C226" s="10" t="s">
        <v>46</v>
      </c>
      <c r="D226" s="19" t="s">
        <v>138</v>
      </c>
      <c r="E226" s="10" t="s">
        <v>139</v>
      </c>
      <c r="F226" s="10"/>
      <c r="G226" s="8"/>
      <c r="H226" s="8"/>
      <c r="I226" s="11" t="n">
        <v>0.0485648148148148</v>
      </c>
      <c r="J226" s="14" t="n">
        <f aca="false">VALUE(SUBSTITUTE($A$190,"miles",""))/(I226*24)</f>
        <v>25.7387988560534</v>
      </c>
    </row>
    <row r="227" customFormat="false" ht="15" hidden="false" customHeight="false" outlineLevel="0" collapsed="false">
      <c r="A227" s="10"/>
      <c r="B227" s="8" t="n">
        <v>71</v>
      </c>
      <c r="C227" s="7" t="s">
        <v>56</v>
      </c>
      <c r="D227" s="8" t="s">
        <v>140</v>
      </c>
      <c r="E227" s="7" t="s">
        <v>137</v>
      </c>
      <c r="F227" s="7"/>
      <c r="G227" s="8"/>
      <c r="H227" s="8"/>
      <c r="I227" s="9" t="n">
        <v>0.0546064814814815</v>
      </c>
      <c r="J227" s="12" t="n">
        <f aca="false">VALUE(SUBSTITUTE($A$190,"miles",""))/(I227*24)</f>
        <v>22.8910555320051</v>
      </c>
    </row>
    <row r="228" customFormat="false" ht="15" hidden="false" customHeight="false" outlineLevel="0" collapsed="false">
      <c r="A228" s="7"/>
      <c r="B228" s="8" t="n">
        <v>72</v>
      </c>
      <c r="C228" s="7" t="s">
        <v>56</v>
      </c>
      <c r="D228" s="8" t="s">
        <v>141</v>
      </c>
      <c r="E228" s="7" t="s">
        <v>142</v>
      </c>
      <c r="F228" s="7"/>
      <c r="G228" s="8"/>
      <c r="H228" s="8"/>
      <c r="I228" s="9" t="n">
        <v>0.0546643518518518</v>
      </c>
      <c r="J228" s="12" t="n">
        <f aca="false">VALUE(SUBSTITUTE($A$190,"miles",""))/(I228*24)</f>
        <v>22.8668219352107</v>
      </c>
    </row>
    <row r="229" customFormat="false" ht="15" hidden="false" customHeight="false" outlineLevel="0" collapsed="false">
      <c r="A229" s="7"/>
      <c r="B229" s="13" t="n">
        <v>73</v>
      </c>
      <c r="C229" s="10" t="s">
        <v>46</v>
      </c>
      <c r="D229" s="19" t="s">
        <v>143</v>
      </c>
      <c r="E229" s="10" t="s">
        <v>144</v>
      </c>
      <c r="F229" s="10"/>
      <c r="G229" s="8"/>
      <c r="H229" s="8"/>
      <c r="I229" s="11" t="n">
        <v>0.0488310185185185</v>
      </c>
      <c r="J229" s="14" t="n">
        <f aca="false">VALUE(SUBSTITUTE($A$190,"miles",""))/(I229*24)</f>
        <v>25.5984830528561</v>
      </c>
    </row>
    <row r="230" customFormat="false" ht="15" hidden="false" customHeight="false" outlineLevel="0" collapsed="false">
      <c r="A230" s="10"/>
      <c r="B230" s="8" t="n">
        <v>73</v>
      </c>
      <c r="C230" s="7" t="s">
        <v>56</v>
      </c>
      <c r="D230" s="8" t="n">
        <v>2004</v>
      </c>
      <c r="E230" s="7"/>
      <c r="F230" s="7"/>
      <c r="G230" s="8"/>
      <c r="H230" s="8"/>
      <c r="I230" s="9" t="n">
        <v>0.0580671296296296</v>
      </c>
      <c r="J230" s="12" t="n">
        <f aca="false">VALUE(SUBSTITUTE($A$190,"miles",""))/(I230*24)</f>
        <v>21.5268088499103</v>
      </c>
    </row>
    <row r="231" customFormat="false" ht="15" hidden="false" customHeight="false" outlineLevel="0" collapsed="false">
      <c r="A231" s="10"/>
      <c r="B231" s="13" t="n">
        <v>74</v>
      </c>
      <c r="C231" s="10" t="s">
        <v>46</v>
      </c>
      <c r="D231" s="19" t="s">
        <v>145</v>
      </c>
      <c r="E231" s="10" t="s">
        <v>146</v>
      </c>
      <c r="F231" s="10"/>
      <c r="G231" s="8"/>
      <c r="H231" s="8"/>
      <c r="I231" s="11" t="n">
        <v>0.0520949074074074</v>
      </c>
      <c r="J231" s="14" t="n">
        <f aca="false">VALUE(SUBSTITUTE($A$190,"miles",""))/(I231*24)</f>
        <v>23.9946678515885</v>
      </c>
    </row>
    <row r="232" customFormat="false" ht="15" hidden="false" customHeight="false" outlineLevel="0" collapsed="false">
      <c r="A232" s="10"/>
      <c r="B232" s="8" t="n">
        <v>74</v>
      </c>
      <c r="C232" s="7" t="s">
        <v>56</v>
      </c>
      <c r="D232" s="8" t="s">
        <v>147</v>
      </c>
      <c r="E232" s="7" t="s">
        <v>125</v>
      </c>
      <c r="F232" s="7"/>
      <c r="G232" s="8"/>
      <c r="H232" s="8"/>
      <c r="I232" s="9" t="n">
        <v>0.0551967592592593</v>
      </c>
      <c r="J232" s="12" t="n">
        <f aca="false">VALUE(SUBSTITUTE($A$190,"miles",""))/(I232*24)</f>
        <v>22.6462570769553</v>
      </c>
    </row>
    <row r="233" customFormat="false" ht="15" hidden="false" customHeight="false" outlineLevel="0" collapsed="false">
      <c r="A233" s="10"/>
      <c r="B233" s="8" t="n">
        <v>75</v>
      </c>
      <c r="C233" s="7" t="s">
        <v>56</v>
      </c>
      <c r="D233" s="8" t="n">
        <v>2006</v>
      </c>
      <c r="E233" s="7"/>
      <c r="F233" s="7"/>
      <c r="G233" s="8"/>
      <c r="H233" s="8"/>
      <c r="I233" s="9" t="n">
        <v>0.0558912037037037</v>
      </c>
      <c r="J233" s="12" t="n">
        <f aca="false">VALUE(SUBSTITUTE($A$190,"miles",""))/(I233*24)</f>
        <v>22.3648788569062</v>
      </c>
    </row>
    <row r="234" customFormat="false" ht="15" hidden="false" customHeight="false" outlineLevel="0" collapsed="false">
      <c r="A234" s="10"/>
      <c r="B234" s="8" t="n">
        <v>76</v>
      </c>
      <c r="C234" s="7" t="s">
        <v>56</v>
      </c>
      <c r="D234" s="8" t="s">
        <v>148</v>
      </c>
      <c r="E234" s="7" t="s">
        <v>125</v>
      </c>
      <c r="F234" s="7"/>
      <c r="G234" s="8"/>
      <c r="H234" s="8"/>
      <c r="I234" s="9" t="n">
        <v>0.0553935185185185</v>
      </c>
      <c r="J234" s="12" t="n">
        <f aca="false">VALUE(SUBSTITUTE($A$190,"miles",""))/(I234*24)</f>
        <v>22.5658169661513</v>
      </c>
    </row>
    <row r="235" customFormat="false" ht="15" hidden="false" customHeight="false" outlineLevel="0" collapsed="false">
      <c r="A235" s="10"/>
      <c r="B235" s="8" t="n">
        <v>76</v>
      </c>
      <c r="C235" s="10" t="s">
        <v>46</v>
      </c>
      <c r="D235" s="13" t="s">
        <v>149</v>
      </c>
      <c r="E235" s="10" t="s">
        <v>150</v>
      </c>
      <c r="F235" s="10"/>
      <c r="G235" s="13"/>
      <c r="H235" s="13"/>
      <c r="I235" s="11" t="n">
        <v>0.0549884259259259</v>
      </c>
      <c r="J235" s="14" t="n">
        <f aca="false">VALUE(SUBSTITUTE($A$190,"miles",""))/(I235*24)</f>
        <v>22.732056409177</v>
      </c>
    </row>
    <row r="236" customFormat="false" ht="15" hidden="false" customHeight="false" outlineLevel="0" collapsed="false">
      <c r="A236" s="10"/>
      <c r="B236" s="13" t="n">
        <v>77</v>
      </c>
      <c r="C236" s="10" t="s">
        <v>56</v>
      </c>
      <c r="D236" s="13" t="s">
        <v>151</v>
      </c>
      <c r="E236" s="10" t="s">
        <v>125</v>
      </c>
      <c r="F236" s="10"/>
      <c r="G236" s="8"/>
      <c r="H236" s="8"/>
      <c r="I236" s="11" t="n">
        <v>0.056875</v>
      </c>
      <c r="J236" s="14" t="n">
        <f aca="false">VALUE(SUBSTITUTE($A$190,"miles",""))/(I236*24)</f>
        <v>21.978021978022</v>
      </c>
    </row>
    <row r="237" customFormat="false" ht="15" hidden="false" customHeight="false" outlineLevel="0" collapsed="false">
      <c r="A237" s="10"/>
      <c r="B237" s="8" t="n">
        <v>78</v>
      </c>
      <c r="C237" s="7" t="s">
        <v>56</v>
      </c>
      <c r="D237" s="8" t="n">
        <v>2009</v>
      </c>
      <c r="E237" s="7"/>
      <c r="F237" s="7"/>
      <c r="G237" s="8"/>
      <c r="H237" s="8"/>
      <c r="I237" s="9" t="n">
        <v>0.0575694444444444</v>
      </c>
      <c r="J237" s="12" t="n">
        <f aca="false">VALUE(SUBSTITUTE($A$190,"miles",""))/(I237*24)</f>
        <v>21.7129071170085</v>
      </c>
    </row>
    <row r="238" customFormat="false" ht="15" hidden="false" customHeight="false" outlineLevel="0" collapsed="false">
      <c r="A238" s="10"/>
      <c r="B238" s="13" t="n">
        <v>83</v>
      </c>
      <c r="C238" s="10" t="s">
        <v>56</v>
      </c>
      <c r="D238" s="13" t="s">
        <v>129</v>
      </c>
      <c r="E238" s="10" t="s">
        <v>125</v>
      </c>
      <c r="F238" s="10"/>
      <c r="G238" s="8"/>
      <c r="H238" s="8"/>
      <c r="I238" s="11" t="n">
        <v>0.0569097222222222</v>
      </c>
      <c r="J238" s="14" t="n">
        <f aca="false">VALUE(SUBSTITUTE($A$190,"miles",""))/(I238*24)</f>
        <v>21.9646125686394</v>
      </c>
    </row>
    <row r="239" customFormat="false" ht="9" hidden="false" customHeight="true" outlineLevel="0" collapsed="false">
      <c r="A239" s="10"/>
      <c r="B239" s="8"/>
      <c r="C239" s="7"/>
      <c r="D239" s="8"/>
      <c r="E239" s="7"/>
      <c r="F239" s="7"/>
      <c r="G239" s="8"/>
      <c r="H239" s="8"/>
      <c r="I239" s="9"/>
      <c r="J239" s="9"/>
    </row>
    <row r="240" customFormat="false" ht="15" hidden="false" customHeight="false" outlineLevel="0" collapsed="false">
      <c r="A240" s="10" t="s">
        <v>152</v>
      </c>
      <c r="B240" s="8" t="n">
        <v>42</v>
      </c>
      <c r="C240" s="7" t="s">
        <v>12</v>
      </c>
      <c r="D240" s="8" t="n">
        <v>1979</v>
      </c>
      <c r="E240" s="7"/>
      <c r="F240" s="7"/>
      <c r="G240" s="8"/>
      <c r="H240" s="8"/>
      <c r="I240" s="9" t="n">
        <v>0.0817824074074074</v>
      </c>
      <c r="J240" s="12" t="n">
        <f aca="false">VALUE(SUBSTITUTE($A$240,"miles",""))/(I240*24)</f>
        <v>25.4741013303142</v>
      </c>
    </row>
    <row r="241" customFormat="false" ht="15" hidden="false" customHeight="false" outlineLevel="0" collapsed="false">
      <c r="A241" s="10"/>
      <c r="B241" s="8" t="n">
        <v>47</v>
      </c>
      <c r="C241" s="7" t="s">
        <v>153</v>
      </c>
      <c r="D241" s="8" t="n">
        <v>1987</v>
      </c>
      <c r="E241" s="7"/>
      <c r="F241" s="7"/>
      <c r="G241" s="8"/>
      <c r="H241" s="8"/>
      <c r="I241" s="9" t="n">
        <v>0.087650462962963</v>
      </c>
      <c r="J241" s="12" t="n">
        <f aca="false">VALUE(SUBSTITUTE($A$240,"miles",""))/(I241*24)</f>
        <v>23.7686517892513</v>
      </c>
    </row>
    <row r="242" customFormat="false" ht="15" hidden="false" customHeight="false" outlineLevel="0" collapsed="false">
      <c r="A242" s="10"/>
      <c r="B242" s="8" t="n">
        <v>48</v>
      </c>
      <c r="C242" s="7" t="s">
        <v>13</v>
      </c>
      <c r="D242" s="8" t="n">
        <v>2000</v>
      </c>
      <c r="E242" s="7" t="s">
        <v>154</v>
      </c>
      <c r="F242" s="7"/>
      <c r="G242" s="8" t="s">
        <v>14</v>
      </c>
      <c r="H242" s="8"/>
      <c r="I242" s="9" t="n">
        <v>0.0722222222222222</v>
      </c>
      <c r="J242" s="12" t="n">
        <f aca="false">VALUE(SUBSTITUTE($A$240,"miles",""))/(I242*24)</f>
        <v>28.8461538461539</v>
      </c>
    </row>
    <row r="243" customFormat="false" ht="15" hidden="false" customHeight="false" outlineLevel="0" collapsed="false">
      <c r="A243" s="10"/>
      <c r="B243" s="8" t="n">
        <v>48</v>
      </c>
      <c r="C243" s="7" t="s">
        <v>13</v>
      </c>
      <c r="D243" s="8" t="n">
        <v>2000</v>
      </c>
      <c r="E243" s="7" t="s">
        <v>155</v>
      </c>
      <c r="F243" s="7"/>
      <c r="G243" s="8" t="s">
        <v>14</v>
      </c>
      <c r="H243" s="8"/>
      <c r="I243" s="9" t="n">
        <v>0.0727083333333333</v>
      </c>
      <c r="J243" s="12" t="n">
        <f aca="false">VALUE(SUBSTITUTE($A$240,"miles",""))/(I243*24)</f>
        <v>28.6532951289398</v>
      </c>
    </row>
    <row r="244" customFormat="false" ht="15" hidden="false" customHeight="false" outlineLevel="0" collapsed="false">
      <c r="A244" s="10"/>
      <c r="B244" s="8" t="n">
        <v>48</v>
      </c>
      <c r="C244" s="7" t="s">
        <v>15</v>
      </c>
      <c r="D244" s="8" t="n">
        <v>1988</v>
      </c>
      <c r="E244" s="7"/>
      <c r="F244" s="7"/>
      <c r="G244" s="8"/>
      <c r="H244" s="8"/>
      <c r="I244" s="9" t="n">
        <v>0.0892708333333333</v>
      </c>
      <c r="J244" s="12" t="n">
        <f aca="false">VALUE(SUBSTITUTE($A$240,"miles",""))/(I244*24)</f>
        <v>23.3372228704784</v>
      </c>
    </row>
    <row r="245" customFormat="false" ht="15" hidden="false" customHeight="false" outlineLevel="0" collapsed="false">
      <c r="A245" s="10"/>
      <c r="B245" s="8" t="n">
        <v>49</v>
      </c>
      <c r="C245" s="7" t="s">
        <v>15</v>
      </c>
      <c r="D245" s="8" t="n">
        <v>1989</v>
      </c>
      <c r="E245" s="7"/>
      <c r="F245" s="7"/>
      <c r="G245" s="8"/>
      <c r="H245" s="8"/>
      <c r="I245" s="9" t="n">
        <v>0.083912037037037</v>
      </c>
      <c r="J245" s="12" t="n">
        <f aca="false">VALUE(SUBSTITUTE($A$240,"miles",""))/(I245*24)</f>
        <v>24.8275862068966</v>
      </c>
    </row>
    <row r="246" customFormat="false" ht="15" hidden="false" customHeight="false" outlineLevel="0" collapsed="false">
      <c r="A246" s="10"/>
      <c r="B246" s="8" t="n">
        <v>50</v>
      </c>
      <c r="C246" s="7" t="s">
        <v>13</v>
      </c>
      <c r="D246" s="8" t="n">
        <v>2002</v>
      </c>
      <c r="E246" s="7" t="s">
        <v>156</v>
      </c>
      <c r="F246" s="7"/>
      <c r="G246" s="8" t="s">
        <v>14</v>
      </c>
      <c r="H246" s="8"/>
      <c r="I246" s="9" t="n">
        <v>0.0739930555555556</v>
      </c>
      <c r="J246" s="12" t="n">
        <f aca="false">VALUE(SUBSTITUTE($A$240,"miles",""))/(I246*24)</f>
        <v>28.1557954012201</v>
      </c>
    </row>
    <row r="247" customFormat="false" ht="15" hidden="false" customHeight="false" outlineLevel="0" collapsed="false">
      <c r="A247" s="10"/>
      <c r="B247" s="8" t="n">
        <v>50</v>
      </c>
      <c r="C247" s="7" t="s">
        <v>15</v>
      </c>
      <c r="D247" s="8" t="n">
        <v>1990</v>
      </c>
      <c r="E247" s="7"/>
      <c r="F247" s="7"/>
      <c r="G247" s="8"/>
      <c r="H247" s="8"/>
      <c r="I247" s="9" t="n">
        <v>0.0810416666666667</v>
      </c>
      <c r="J247" s="12" t="n">
        <f aca="false">VALUE(SUBSTITUTE($A$240,"miles",""))/(I247*24)</f>
        <v>25.706940874036</v>
      </c>
    </row>
    <row r="248" customFormat="false" ht="15" hidden="false" customHeight="false" outlineLevel="0" collapsed="false">
      <c r="A248" s="10"/>
      <c r="B248" s="8" t="n">
        <v>51</v>
      </c>
      <c r="C248" s="7" t="s">
        <v>15</v>
      </c>
      <c r="D248" s="8" t="n">
        <v>1991</v>
      </c>
      <c r="E248" s="7"/>
      <c r="F248" s="7"/>
      <c r="G248" s="8"/>
      <c r="H248" s="8" t="s">
        <v>19</v>
      </c>
      <c r="I248" s="9" t="n">
        <v>0.076712962962963</v>
      </c>
      <c r="J248" s="12" t="n">
        <f aca="false">VALUE(SUBSTITUTE($A$240,"miles",""))/(I248*24)</f>
        <v>27.1575135787568</v>
      </c>
    </row>
    <row r="249" customFormat="false" ht="15" hidden="false" customHeight="false" outlineLevel="0" collapsed="false">
      <c r="A249" s="10"/>
      <c r="B249" s="8" t="n">
        <v>52</v>
      </c>
      <c r="C249" s="7" t="s">
        <v>15</v>
      </c>
      <c r="D249" s="8" t="n">
        <v>1992</v>
      </c>
      <c r="E249" s="7"/>
      <c r="F249" s="7"/>
      <c r="G249" s="8"/>
      <c r="H249" s="8"/>
      <c r="I249" s="9" t="n">
        <v>0.0805439814814815</v>
      </c>
      <c r="J249" s="12" t="n">
        <f aca="false">VALUE(SUBSTITUTE($A$240,"miles",""))/(I249*24)</f>
        <v>25.8657853139819</v>
      </c>
    </row>
    <row r="250" customFormat="false" ht="15" hidden="false" customHeight="false" outlineLevel="0" collapsed="false">
      <c r="A250" s="10"/>
      <c r="B250" s="8" t="n">
        <v>52</v>
      </c>
      <c r="C250" s="7" t="s">
        <v>12</v>
      </c>
      <c r="D250" s="8" t="n">
        <v>1989</v>
      </c>
      <c r="E250" s="7"/>
      <c r="F250" s="7"/>
      <c r="G250" s="8"/>
      <c r="H250" s="8"/>
      <c r="I250" s="9" t="n">
        <v>0.0876157407407407</v>
      </c>
      <c r="J250" s="12" t="n">
        <f aca="false">VALUE(SUBSTITUTE($A$240,"miles",""))/(I250*24)</f>
        <v>23.778071334214</v>
      </c>
    </row>
    <row r="251" customFormat="false" ht="15" hidden="false" customHeight="false" outlineLevel="0" collapsed="false">
      <c r="A251" s="10"/>
      <c r="B251" s="8" t="n">
        <v>53</v>
      </c>
      <c r="C251" s="7" t="s">
        <v>15</v>
      </c>
      <c r="D251" s="8" t="n">
        <v>1993</v>
      </c>
      <c r="E251" s="7"/>
      <c r="F251" s="7"/>
      <c r="G251" s="8"/>
      <c r="H251" s="8"/>
      <c r="I251" s="9" t="n">
        <v>0.0819328703703704</v>
      </c>
      <c r="J251" s="12" t="n">
        <f aca="false">VALUE(SUBSTITUTE($A$240,"miles",""))/(I251*24)</f>
        <v>25.4273202429722</v>
      </c>
    </row>
    <row r="252" customFormat="false" ht="15" hidden="false" customHeight="false" outlineLevel="0" collapsed="false">
      <c r="A252" s="10"/>
      <c r="B252" s="8" t="n">
        <v>53</v>
      </c>
      <c r="C252" s="7" t="s">
        <v>12</v>
      </c>
      <c r="D252" s="8" t="n">
        <v>1990</v>
      </c>
      <c r="E252" s="7"/>
      <c r="F252" s="7"/>
      <c r="G252" s="8"/>
      <c r="H252" s="8"/>
      <c r="I252" s="9" t="n">
        <v>0.0884490740740741</v>
      </c>
      <c r="J252" s="12" t="n">
        <f aca="false">VALUE(SUBSTITUTE($A$240,"miles",""))/(I252*24)</f>
        <v>23.5540434441246</v>
      </c>
    </row>
    <row r="253" customFormat="false" ht="15" hidden="false" customHeight="false" outlineLevel="0" collapsed="false">
      <c r="A253" s="10"/>
      <c r="B253" s="8" t="n">
        <v>54</v>
      </c>
      <c r="C253" s="7" t="s">
        <v>13</v>
      </c>
      <c r="D253" s="8" t="n">
        <v>2006</v>
      </c>
      <c r="E253" s="7"/>
      <c r="F253" s="7"/>
      <c r="G253" s="8"/>
      <c r="H253" s="8" t="s">
        <v>19</v>
      </c>
      <c r="I253" s="9" t="n">
        <v>0.076712962962963</v>
      </c>
      <c r="J253" s="12" t="n">
        <f aca="false">VALUE(SUBSTITUTE($A$240,"miles",""))/(I253*24)</f>
        <v>27.1575135787568</v>
      </c>
    </row>
    <row r="254" customFormat="false" ht="15" hidden="false" customHeight="false" outlineLevel="0" collapsed="false">
      <c r="A254" s="10"/>
      <c r="B254" s="8" t="n">
        <v>54</v>
      </c>
      <c r="C254" s="7" t="s">
        <v>13</v>
      </c>
      <c r="D254" s="8" t="n">
        <v>2006</v>
      </c>
      <c r="E254" s="7"/>
      <c r="F254" s="7"/>
      <c r="G254" s="8"/>
      <c r="H254" s="8"/>
      <c r="I254" s="9" t="n">
        <v>0.0773611111111111</v>
      </c>
      <c r="J254" s="12" t="n">
        <f aca="false">VALUE(SUBSTITUTE($A$240,"miles",""))/(I254*24)</f>
        <v>26.9299820466786</v>
      </c>
    </row>
    <row r="255" customFormat="false" ht="15" hidden="false" customHeight="false" outlineLevel="0" collapsed="false">
      <c r="A255" s="10"/>
      <c r="B255" s="8" t="n">
        <v>54</v>
      </c>
      <c r="C255" s="7" t="s">
        <v>15</v>
      </c>
      <c r="D255" s="8" t="n">
        <v>1994</v>
      </c>
      <c r="E255" s="7"/>
      <c r="F255" s="7"/>
      <c r="G255" s="8"/>
      <c r="H255" s="8"/>
      <c r="I255" s="9" t="n">
        <v>0.0805208333333333</v>
      </c>
      <c r="J255" s="12" t="n">
        <f aca="false">VALUE(SUBSTITUTE($A$240,"miles",""))/(I255*24)</f>
        <v>25.8732212160414</v>
      </c>
    </row>
    <row r="256" customFormat="false" ht="15" hidden="false" customHeight="false" outlineLevel="0" collapsed="false">
      <c r="A256" s="10"/>
      <c r="B256" s="8" t="n">
        <v>55</v>
      </c>
      <c r="C256" s="7" t="s">
        <v>13</v>
      </c>
      <c r="D256" s="8" t="n">
        <v>2007</v>
      </c>
      <c r="E256" s="7"/>
      <c r="F256" s="7"/>
      <c r="G256" s="8"/>
      <c r="H256" s="8"/>
      <c r="I256" s="9" t="n">
        <v>0.0754166666666667</v>
      </c>
      <c r="J256" s="12" t="n">
        <f aca="false">VALUE(SUBSTITUTE($A$240,"miles",""))/(I256*24)</f>
        <v>27.6243093922652</v>
      </c>
    </row>
    <row r="257" customFormat="false" ht="15" hidden="false" customHeight="false" outlineLevel="0" collapsed="false">
      <c r="A257" s="10"/>
      <c r="B257" s="8" t="n">
        <v>55</v>
      </c>
      <c r="C257" s="7" t="s">
        <v>13</v>
      </c>
      <c r="D257" s="8" t="n">
        <v>2007</v>
      </c>
      <c r="E257" s="7"/>
      <c r="F257" s="7"/>
      <c r="G257" s="8"/>
      <c r="H257" s="8"/>
      <c r="I257" s="9" t="n">
        <v>0.0763078703703704</v>
      </c>
      <c r="J257" s="12" t="n">
        <f aca="false">VALUE(SUBSTITUTE($A$240,"miles",""))/(I257*24)</f>
        <v>27.3016836038222</v>
      </c>
    </row>
    <row r="258" s="1" customFormat="true" ht="15" hidden="false" customHeight="false" outlineLevel="0" collapsed="false">
      <c r="A258" s="10"/>
      <c r="B258" s="13" t="n">
        <v>56</v>
      </c>
      <c r="C258" s="10" t="s">
        <v>13</v>
      </c>
      <c r="D258" s="13" t="s">
        <v>157</v>
      </c>
      <c r="E258" s="10" t="s">
        <v>158</v>
      </c>
      <c r="F258" s="10"/>
      <c r="G258" s="13" t="s">
        <v>14</v>
      </c>
      <c r="H258" s="13" t="s">
        <v>39</v>
      </c>
      <c r="I258" s="11" t="n">
        <v>0.07125</v>
      </c>
      <c r="J258" s="14" t="n">
        <f aca="false">VALUE(SUBSTITUTE($A$240,"miles",""))/(I258*24)</f>
        <v>29.2397660818713</v>
      </c>
    </row>
    <row r="259" customFormat="false" ht="15" hidden="false" customHeight="false" outlineLevel="0" collapsed="false">
      <c r="A259" s="10"/>
      <c r="B259" s="8" t="n">
        <v>57</v>
      </c>
      <c r="C259" s="7" t="s">
        <v>29</v>
      </c>
      <c r="D259" s="8" t="n">
        <v>1978</v>
      </c>
      <c r="E259" s="7"/>
      <c r="F259" s="7"/>
      <c r="G259" s="8"/>
      <c r="H259" s="8"/>
      <c r="I259" s="9" t="n">
        <v>0.0904282407407407</v>
      </c>
      <c r="J259" s="12" t="n">
        <f aca="false">VALUE(SUBSTITUTE($A$240,"miles",""))/(I259*24)</f>
        <v>23.0385255343658</v>
      </c>
    </row>
    <row r="260" customFormat="false" ht="15" hidden="false" customHeight="false" outlineLevel="0" collapsed="false">
      <c r="A260" s="10"/>
      <c r="B260" s="8" t="n">
        <v>58</v>
      </c>
      <c r="C260" s="7" t="s">
        <v>29</v>
      </c>
      <c r="D260" s="8" t="n">
        <v>1979</v>
      </c>
      <c r="E260" s="7"/>
      <c r="F260" s="7"/>
      <c r="G260" s="8"/>
      <c r="H260" s="8"/>
      <c r="I260" s="9" t="n">
        <v>0.0955671296296296</v>
      </c>
      <c r="J260" s="12" t="n">
        <f aca="false">VALUE(SUBSTITUTE($A$240,"miles",""))/(I260*24)</f>
        <v>21.7996851156594</v>
      </c>
    </row>
    <row r="261" customFormat="false" ht="15" hidden="false" customHeight="false" outlineLevel="0" collapsed="false">
      <c r="A261" s="10"/>
      <c r="B261" s="8" t="n">
        <v>59</v>
      </c>
      <c r="C261" s="7" t="s">
        <v>29</v>
      </c>
      <c r="D261" s="8" t="n">
        <v>1980</v>
      </c>
      <c r="E261" s="7"/>
      <c r="F261" s="7"/>
      <c r="G261" s="8"/>
      <c r="H261" s="8"/>
      <c r="I261" s="9" t="n">
        <v>0.0963078703703704</v>
      </c>
      <c r="J261" s="12" t="n">
        <f aca="false">VALUE(SUBSTITUTE($A$240,"miles",""))/(I261*24)</f>
        <v>21.6320153827665</v>
      </c>
    </row>
    <row r="262" customFormat="false" ht="15" hidden="false" customHeight="false" outlineLevel="0" collapsed="false">
      <c r="A262" s="10"/>
      <c r="B262" s="8" t="n">
        <v>60</v>
      </c>
      <c r="C262" s="7" t="s">
        <v>13</v>
      </c>
      <c r="D262" s="8" t="s">
        <v>159</v>
      </c>
      <c r="E262" s="7" t="s">
        <v>158</v>
      </c>
      <c r="F262" s="7"/>
      <c r="G262" s="8"/>
      <c r="H262" s="8"/>
      <c r="I262" s="9" t="n">
        <v>0.0739351851851852</v>
      </c>
      <c r="J262" s="12" t="n">
        <f aca="false">VALUE(SUBSTITUTE($A$240,"miles",""))/(I262*24)</f>
        <v>28.1778334376957</v>
      </c>
    </row>
    <row r="263" customFormat="false" ht="15" hidden="false" customHeight="false" outlineLevel="0" collapsed="false">
      <c r="A263" s="10"/>
      <c r="B263" s="8" t="n">
        <v>60</v>
      </c>
      <c r="C263" s="7" t="s">
        <v>29</v>
      </c>
      <c r="D263" s="8" t="n">
        <v>1981</v>
      </c>
      <c r="E263" s="7"/>
      <c r="F263" s="7"/>
      <c r="G263" s="8"/>
      <c r="H263" s="8"/>
      <c r="I263" s="9" t="n">
        <v>0.093275462962963</v>
      </c>
      <c r="J263" s="12" t="n">
        <f aca="false">VALUE(SUBSTITUTE($A$240,"miles",""))/(I263*24)</f>
        <v>22.3352773296935</v>
      </c>
    </row>
    <row r="264" customFormat="false" ht="15" hidden="false" customHeight="false" outlineLevel="0" collapsed="false">
      <c r="A264" s="10"/>
      <c r="B264" s="8" t="n">
        <v>61</v>
      </c>
      <c r="C264" s="7" t="s">
        <v>13</v>
      </c>
      <c r="D264" s="8" t="s">
        <v>160</v>
      </c>
      <c r="E264" s="7"/>
      <c r="F264" s="7"/>
      <c r="G264" s="8"/>
      <c r="H264" s="8"/>
      <c r="I264" s="9" t="n">
        <v>0.0748726851851852</v>
      </c>
      <c r="J264" s="12" t="n">
        <f aca="false">VALUE(SUBSTITUTE($A$240,"miles",""))/(I264*24)</f>
        <v>27.8250115937548</v>
      </c>
    </row>
    <row r="265" customFormat="false" ht="15" hidden="false" customHeight="false" outlineLevel="0" collapsed="false">
      <c r="A265" s="10"/>
      <c r="B265" s="8" t="n">
        <v>61</v>
      </c>
      <c r="C265" s="7" t="s">
        <v>32</v>
      </c>
      <c r="D265" s="8" t="n">
        <v>1991</v>
      </c>
      <c r="E265" s="7"/>
      <c r="F265" s="7"/>
      <c r="G265" s="8"/>
      <c r="H265" s="8"/>
      <c r="I265" s="9" t="n">
        <v>0.0827314814814815</v>
      </c>
      <c r="J265" s="12" t="n">
        <f aca="false">VALUE(SUBSTITUTE($A$240,"miles",""))/(I265*24)</f>
        <v>25.1818690542809</v>
      </c>
    </row>
    <row r="266" customFormat="false" ht="15" hidden="false" customHeight="false" outlineLevel="0" collapsed="false">
      <c r="A266" s="10"/>
      <c r="B266" s="8" t="n">
        <v>61</v>
      </c>
      <c r="C266" s="7" t="s">
        <v>29</v>
      </c>
      <c r="D266" s="8" t="n">
        <v>1982</v>
      </c>
      <c r="E266" s="7"/>
      <c r="F266" s="7"/>
      <c r="G266" s="8"/>
      <c r="H266" s="8"/>
      <c r="I266" s="9" t="n">
        <v>0.0931597222222222</v>
      </c>
      <c r="J266" s="12" t="n">
        <f aca="false">VALUE(SUBSTITUTE($A$240,"miles",""))/(I266*24)</f>
        <v>22.3630264629147</v>
      </c>
    </row>
    <row r="267" customFormat="false" ht="15" hidden="false" customHeight="false" outlineLevel="0" collapsed="false">
      <c r="A267" s="10"/>
      <c r="B267" s="8" t="n">
        <v>62</v>
      </c>
      <c r="C267" s="7" t="s">
        <v>32</v>
      </c>
      <c r="D267" s="8" t="n">
        <v>1992</v>
      </c>
      <c r="E267" s="7"/>
      <c r="F267" s="7"/>
      <c r="G267" s="8"/>
      <c r="H267" s="8"/>
      <c r="I267" s="9" t="n">
        <v>0.0873263888888889</v>
      </c>
      <c r="J267" s="12" t="n">
        <f aca="false">VALUE(SUBSTITUTE($A$240,"miles",""))/(I267*24)</f>
        <v>23.8568588469185</v>
      </c>
    </row>
    <row r="268" customFormat="false" ht="15" hidden="false" customHeight="false" outlineLevel="0" collapsed="false">
      <c r="A268" s="10"/>
      <c r="B268" s="8" t="n">
        <v>62</v>
      </c>
      <c r="C268" s="7" t="s">
        <v>29</v>
      </c>
      <c r="D268" s="8" t="n">
        <v>1983</v>
      </c>
      <c r="E268" s="7"/>
      <c r="F268" s="7"/>
      <c r="G268" s="8"/>
      <c r="H268" s="8"/>
      <c r="I268" s="9" t="n">
        <v>0.0974884259259259</v>
      </c>
      <c r="J268" s="12" t="n">
        <f aca="false">VALUE(SUBSTITUTE($A$240,"miles",""))/(I268*24)</f>
        <v>21.3700581740473</v>
      </c>
    </row>
    <row r="269" customFormat="false" ht="15" hidden="false" customHeight="false" outlineLevel="0" collapsed="false">
      <c r="A269" s="10"/>
      <c r="B269" s="8" t="n">
        <v>63</v>
      </c>
      <c r="C269" s="7" t="s">
        <v>33</v>
      </c>
      <c r="D269" s="8" t="s">
        <v>161</v>
      </c>
      <c r="E269" s="7" t="s">
        <v>158</v>
      </c>
      <c r="F269" s="7"/>
      <c r="G269" s="8"/>
      <c r="H269" s="8" t="s">
        <v>19</v>
      </c>
      <c r="I269" s="9" t="n">
        <v>0.0753356481481482</v>
      </c>
      <c r="J269" s="12" t="n">
        <f aca="false">VALUE(SUBSTITUTE($A$240,"miles",""))/(I269*24)</f>
        <v>27.6540175142111</v>
      </c>
    </row>
    <row r="270" customFormat="false" ht="15" hidden="false" customHeight="false" outlineLevel="0" collapsed="false">
      <c r="A270" s="10"/>
      <c r="B270" s="8" t="n">
        <v>63</v>
      </c>
      <c r="C270" s="7" t="s">
        <v>32</v>
      </c>
      <c r="D270" s="8" t="n">
        <v>1993</v>
      </c>
      <c r="E270" s="7"/>
      <c r="F270" s="7"/>
      <c r="G270" s="8"/>
      <c r="H270" s="8"/>
      <c r="I270" s="9" t="n">
        <v>0.0867592592592593</v>
      </c>
      <c r="J270" s="12" t="n">
        <f aca="false">VALUE(SUBSTITUTE($A$240,"miles",""))/(I270*24)</f>
        <v>24.0128068303095</v>
      </c>
    </row>
    <row r="271" customFormat="false" ht="15" hidden="false" customHeight="false" outlineLevel="0" collapsed="false">
      <c r="A271" s="10"/>
      <c r="B271" s="8" t="n">
        <v>64</v>
      </c>
      <c r="C271" s="7" t="s">
        <v>13</v>
      </c>
      <c r="D271" s="8" t="s">
        <v>161</v>
      </c>
      <c r="E271" s="7" t="s">
        <v>158</v>
      </c>
      <c r="F271" s="7"/>
      <c r="G271" s="8"/>
      <c r="H271" s="8" t="s">
        <v>19</v>
      </c>
      <c r="I271" s="9" t="n">
        <v>0.0764814814814815</v>
      </c>
      <c r="J271" s="12" t="n">
        <f aca="false">VALUE(SUBSTITUTE($A$240,"miles",""))/(I271*24)</f>
        <v>27.2397094430993</v>
      </c>
    </row>
    <row r="272" customFormat="false" ht="15" hidden="false" customHeight="false" outlineLevel="0" collapsed="false">
      <c r="A272" s="10"/>
      <c r="B272" s="8" t="n">
        <v>64</v>
      </c>
      <c r="C272" s="7" t="s">
        <v>29</v>
      </c>
      <c r="D272" s="8" t="n">
        <v>1985</v>
      </c>
      <c r="E272" s="7"/>
      <c r="F272" s="7"/>
      <c r="G272" s="8"/>
      <c r="H272" s="8"/>
      <c r="I272" s="9" t="n">
        <v>0.100115740740741</v>
      </c>
      <c r="J272" s="12" t="n">
        <f aca="false">VALUE(SUBSTITUTE($A$240,"miles",""))/(I272*24)</f>
        <v>20.8092485549132</v>
      </c>
    </row>
    <row r="273" s="1" customFormat="true" ht="15" hidden="false" customHeight="false" outlineLevel="0" collapsed="false">
      <c r="A273" s="10"/>
      <c r="B273" s="13" t="n">
        <v>65</v>
      </c>
      <c r="C273" s="10" t="s">
        <v>33</v>
      </c>
      <c r="D273" s="13" t="s">
        <v>162</v>
      </c>
      <c r="E273" s="10" t="s">
        <v>158</v>
      </c>
      <c r="F273" s="10"/>
      <c r="G273" s="13" t="s">
        <v>43</v>
      </c>
      <c r="H273" s="13" t="s">
        <v>39</v>
      </c>
      <c r="I273" s="11" t="n">
        <v>0.0719328703703704</v>
      </c>
      <c r="J273" s="14" t="n">
        <f aca="false">VALUE(SUBSTITUTE($A$240,"miles",""))/(I273*24)</f>
        <v>28.9621882542236</v>
      </c>
    </row>
    <row r="274" customFormat="false" ht="15" hidden="false" customHeight="false" outlineLevel="0" collapsed="false">
      <c r="A274" s="10"/>
      <c r="B274" s="8" t="n">
        <v>65</v>
      </c>
      <c r="C274" s="7" t="s">
        <v>13</v>
      </c>
      <c r="D274" s="8" t="s">
        <v>163</v>
      </c>
      <c r="E274" s="7" t="s">
        <v>158</v>
      </c>
      <c r="F274" s="7"/>
      <c r="G274" s="8"/>
      <c r="H274" s="8"/>
      <c r="I274" s="9" t="n">
        <v>0.0803240740740741</v>
      </c>
      <c r="J274" s="12" t="n">
        <f aca="false">VALUE(SUBSTITUTE($A$240,"miles",""))/(I274*24)</f>
        <v>25.9365994236311</v>
      </c>
    </row>
    <row r="275" customFormat="false" ht="15" hidden="false" customHeight="false" outlineLevel="0" collapsed="false">
      <c r="A275" s="10"/>
      <c r="B275" s="8" t="n">
        <v>65</v>
      </c>
      <c r="C275" s="7" t="s">
        <v>29</v>
      </c>
      <c r="D275" s="8" t="n">
        <v>1986</v>
      </c>
      <c r="E275" s="7"/>
      <c r="F275" s="7"/>
      <c r="G275" s="8"/>
      <c r="H275" s="8"/>
      <c r="I275" s="9" t="n">
        <v>0.101736111111111</v>
      </c>
      <c r="J275" s="12" t="n">
        <f aca="false">VALUE(SUBSTITUTE($A$240,"miles",""))/(I275*24)</f>
        <v>20.4778156996587</v>
      </c>
    </row>
    <row r="276" s="1" customFormat="true" ht="15" hidden="false" customHeight="false" outlineLevel="0" collapsed="false">
      <c r="A276" s="10"/>
      <c r="B276" s="8" t="n">
        <v>66</v>
      </c>
      <c r="C276" s="7" t="s">
        <v>13</v>
      </c>
      <c r="D276" s="8" t="s">
        <v>162</v>
      </c>
      <c r="E276" s="7" t="s">
        <v>158</v>
      </c>
      <c r="F276" s="7"/>
      <c r="G276" s="8" t="s">
        <v>14</v>
      </c>
      <c r="H276" s="8" t="s">
        <v>19</v>
      </c>
      <c r="I276" s="9" t="n">
        <v>0.0744328703703704</v>
      </c>
      <c r="J276" s="12" t="n">
        <f aca="false">VALUE(SUBSTITUTE($A$240,"miles",""))/(I276*24)</f>
        <v>27.9894262167625</v>
      </c>
    </row>
    <row r="277" customFormat="false" ht="15" hidden="false" customHeight="false" outlineLevel="0" collapsed="false">
      <c r="A277" s="10"/>
      <c r="B277" s="8" t="n">
        <v>66</v>
      </c>
      <c r="C277" s="7" t="s">
        <v>32</v>
      </c>
      <c r="D277" s="8" t="s">
        <v>164</v>
      </c>
      <c r="E277" s="7" t="s">
        <v>165</v>
      </c>
      <c r="F277" s="7"/>
      <c r="G277" s="8"/>
      <c r="H277" s="8"/>
      <c r="I277" s="9" t="n">
        <v>0.0847106481481482</v>
      </c>
      <c r="J277" s="12" t="n">
        <f aca="false">VALUE(SUBSTITUTE($A$240,"miles",""))/(I277*24)</f>
        <v>24.5935237054242</v>
      </c>
    </row>
    <row r="278" customFormat="false" ht="15" hidden="false" customHeight="false" outlineLevel="0" collapsed="false">
      <c r="A278" s="10"/>
      <c r="B278" s="8" t="n">
        <v>66</v>
      </c>
      <c r="C278" s="7" t="s">
        <v>48</v>
      </c>
      <c r="D278" s="8" t="n">
        <v>1993</v>
      </c>
      <c r="E278" s="7"/>
      <c r="F278" s="7"/>
      <c r="G278" s="8"/>
      <c r="H278" s="8"/>
      <c r="I278" s="9" t="n">
        <v>0.0891087962962963</v>
      </c>
      <c r="J278" s="12" t="n">
        <f aca="false">VALUE(SUBSTITUTE($A$240,"miles",""))/(I278*24)</f>
        <v>23.3796596960644</v>
      </c>
    </row>
    <row r="279" customFormat="false" ht="15" hidden="false" customHeight="false" outlineLevel="0" collapsed="false">
      <c r="A279" s="10"/>
      <c r="B279" s="13" t="n">
        <v>67</v>
      </c>
      <c r="C279" s="10" t="s">
        <v>33</v>
      </c>
      <c r="D279" s="13" t="s">
        <v>166</v>
      </c>
      <c r="E279" s="10" t="s">
        <v>158</v>
      </c>
      <c r="F279" s="10"/>
      <c r="G279" s="13" t="s">
        <v>43</v>
      </c>
      <c r="H279" s="13" t="s">
        <v>39</v>
      </c>
      <c r="I279" s="11" t="n">
        <v>0.0735648148148148</v>
      </c>
      <c r="J279" s="14" t="n">
        <f aca="false">VALUE(SUBSTITUTE($A$240,"miles",""))/(I279*24)</f>
        <v>28.3196979232222</v>
      </c>
    </row>
    <row r="280" s="1" customFormat="true" ht="15" hidden="false" customHeight="false" outlineLevel="0" collapsed="false">
      <c r="A280" s="10"/>
      <c r="B280" s="8" t="n">
        <v>67</v>
      </c>
      <c r="C280" s="7" t="s">
        <v>13</v>
      </c>
      <c r="D280" s="8" t="s">
        <v>167</v>
      </c>
      <c r="E280" s="7" t="s">
        <v>158</v>
      </c>
      <c r="F280" s="7"/>
      <c r="G280" s="8"/>
      <c r="H280" s="8" t="s">
        <v>19</v>
      </c>
      <c r="I280" s="9" t="n">
        <v>0.0784143518518518</v>
      </c>
      <c r="J280" s="12" t="n">
        <f aca="false">VALUE(SUBSTITUTE($A$240,"miles",""))/(I280*24)</f>
        <v>26.5682656826568</v>
      </c>
    </row>
    <row r="281" customFormat="false" ht="15" hidden="false" customHeight="false" outlineLevel="0" collapsed="false">
      <c r="A281" s="10"/>
      <c r="B281" s="8" t="n">
        <v>67</v>
      </c>
      <c r="C281" s="7" t="s">
        <v>48</v>
      </c>
      <c r="D281" s="8" t="s">
        <v>168</v>
      </c>
      <c r="E281" s="7" t="s">
        <v>169</v>
      </c>
      <c r="F281" s="7"/>
      <c r="G281" s="8"/>
      <c r="H281" s="8"/>
      <c r="I281" s="9" t="n">
        <v>0.0898263888888889</v>
      </c>
      <c r="J281" s="12" t="n">
        <f aca="false">VALUE(SUBSTITUTE($A$240,"miles",""))/(I281*24)</f>
        <v>23.1928875144955</v>
      </c>
    </row>
    <row r="282" customFormat="false" ht="15" hidden="false" customHeight="false" outlineLevel="0" collapsed="false">
      <c r="A282" s="10"/>
      <c r="B282" s="13" t="n">
        <v>68</v>
      </c>
      <c r="C282" s="10" t="s">
        <v>33</v>
      </c>
      <c r="D282" s="13" t="s">
        <v>170</v>
      </c>
      <c r="E282" s="10" t="s">
        <v>171</v>
      </c>
      <c r="F282" s="10"/>
      <c r="G282" s="13" t="s">
        <v>43</v>
      </c>
      <c r="H282" s="13" t="s">
        <v>39</v>
      </c>
      <c r="I282" s="11" t="n">
        <v>0.0749305555555556</v>
      </c>
      <c r="J282" s="14" t="n">
        <f aca="false">VALUE(SUBSTITUTE($A$240,"miles",""))/(I282*24)</f>
        <v>27.8035217794254</v>
      </c>
    </row>
    <row r="283" customFormat="false" ht="15" hidden="false" customHeight="false" outlineLevel="0" collapsed="false">
      <c r="A283" s="10"/>
      <c r="B283" s="8" t="n">
        <v>68</v>
      </c>
      <c r="C283" s="7" t="s">
        <v>33</v>
      </c>
      <c r="D283" s="8" t="s">
        <v>172</v>
      </c>
      <c r="E283" s="7" t="s">
        <v>171</v>
      </c>
      <c r="F283" s="7"/>
      <c r="G283" s="8" t="s">
        <v>14</v>
      </c>
      <c r="H283" s="8" t="s">
        <v>19</v>
      </c>
      <c r="I283" s="9" t="n">
        <v>0.0755208333333333</v>
      </c>
      <c r="J283" s="12" t="n">
        <f aca="false">VALUE(SUBSTITUTE($A$240,"miles",""))/(I283*24)</f>
        <v>27.5862068965517</v>
      </c>
    </row>
    <row r="284" customFormat="false" ht="15" hidden="false" customHeight="false" outlineLevel="0" collapsed="false">
      <c r="A284" s="10"/>
      <c r="B284" s="8" t="n">
        <v>68</v>
      </c>
      <c r="C284" s="7" t="s">
        <v>46</v>
      </c>
      <c r="D284" s="8" t="s">
        <v>161</v>
      </c>
      <c r="E284" s="7" t="s">
        <v>158</v>
      </c>
      <c r="F284" s="7"/>
      <c r="G284" s="8"/>
      <c r="H284" s="8" t="s">
        <v>19</v>
      </c>
      <c r="I284" s="9" t="n">
        <v>0.0817476851851852</v>
      </c>
      <c r="J284" s="12" t="n">
        <f aca="false">VALUE(SUBSTITUTE($A$240,"miles",""))/(I284*24)</f>
        <v>25.4849214214923</v>
      </c>
    </row>
    <row r="285" customFormat="false" ht="15" hidden="false" customHeight="false" outlineLevel="0" collapsed="false">
      <c r="A285" s="10"/>
      <c r="B285" s="8" t="n">
        <v>68</v>
      </c>
      <c r="C285" s="7" t="s">
        <v>48</v>
      </c>
      <c r="D285" s="8" t="n">
        <v>1995</v>
      </c>
      <c r="E285" s="7"/>
      <c r="F285" s="7"/>
      <c r="G285" s="8"/>
      <c r="H285" s="8"/>
      <c r="I285" s="9" t="n">
        <v>0.0921180555555556</v>
      </c>
      <c r="J285" s="12" t="n">
        <f aca="false">VALUE(SUBSTITUTE($A$240,"miles",""))/(I285*24)</f>
        <v>22.6159065209197</v>
      </c>
    </row>
    <row r="286" customFormat="false" ht="15" hidden="false" customHeight="false" outlineLevel="0" collapsed="false">
      <c r="A286" s="10"/>
      <c r="B286" s="13" t="n">
        <v>69</v>
      </c>
      <c r="C286" s="10" t="s">
        <v>33</v>
      </c>
      <c r="D286" s="13" t="s">
        <v>173</v>
      </c>
      <c r="E286" s="10" t="s">
        <v>171</v>
      </c>
      <c r="F286" s="10"/>
      <c r="G286" s="13" t="s">
        <v>43</v>
      </c>
      <c r="H286" s="13" t="s">
        <v>39</v>
      </c>
      <c r="I286" s="11" t="n">
        <v>0.0754513888888889</v>
      </c>
      <c r="J286" s="14" t="n">
        <f aca="false">VALUE(SUBSTITUTE($A$240,"miles",""))/(I286*24)</f>
        <v>27.6115968706857</v>
      </c>
    </row>
    <row r="287" customFormat="false" ht="15" hidden="false" customHeight="false" outlineLevel="0" collapsed="false">
      <c r="A287" s="10"/>
      <c r="B287" s="8" t="n">
        <v>69</v>
      </c>
      <c r="C287" s="7" t="s">
        <v>46</v>
      </c>
      <c r="D287" s="8" t="s">
        <v>174</v>
      </c>
      <c r="E287" s="7" t="s">
        <v>158</v>
      </c>
      <c r="F287" s="7"/>
      <c r="G287" s="8"/>
      <c r="H287" s="8"/>
      <c r="I287" s="9" t="n">
        <v>0.0829861111111111</v>
      </c>
      <c r="J287" s="12" t="n">
        <f aca="false">VALUE(SUBSTITUTE($A$240,"miles",""))/(I287*24)</f>
        <v>25.1046025104603</v>
      </c>
    </row>
    <row r="288" customFormat="false" ht="15" hidden="false" customHeight="false" outlineLevel="0" collapsed="false">
      <c r="A288" s="10"/>
      <c r="B288" s="8" t="n">
        <v>69</v>
      </c>
      <c r="C288" s="7" t="s">
        <v>56</v>
      </c>
      <c r="D288" s="8" t="s">
        <v>175</v>
      </c>
      <c r="E288" s="7" t="s">
        <v>176</v>
      </c>
      <c r="F288" s="7"/>
      <c r="G288" s="8"/>
      <c r="H288" s="8"/>
      <c r="I288" s="9" t="n">
        <v>0.0900462962962963</v>
      </c>
      <c r="J288" s="12" t="n">
        <f aca="false">VALUE(SUBSTITUTE($A$240,"miles",""))/(I288*24)</f>
        <v>23.1362467866324</v>
      </c>
    </row>
    <row r="289" customFormat="false" ht="15" hidden="false" customHeight="false" outlineLevel="0" collapsed="false">
      <c r="A289" s="10"/>
      <c r="B289" s="8" t="n">
        <v>69</v>
      </c>
      <c r="C289" s="7" t="s">
        <v>48</v>
      </c>
      <c r="D289" s="8" t="n">
        <v>1996</v>
      </c>
      <c r="E289" s="7"/>
      <c r="F289" s="7"/>
      <c r="G289" s="8"/>
      <c r="H289" s="8"/>
      <c r="I289" s="9" t="n">
        <v>0.0904976851851852</v>
      </c>
      <c r="J289" s="12" t="n">
        <f aca="false">VALUE(SUBSTITUTE($A$240,"miles",""))/(I289*24)</f>
        <v>23.0208466555826</v>
      </c>
    </row>
    <row r="290" s="1" customFormat="true" ht="15" hidden="false" customHeight="false" outlineLevel="0" collapsed="false">
      <c r="A290" s="10"/>
      <c r="B290" s="13" t="n">
        <v>70</v>
      </c>
      <c r="C290" s="10" t="s">
        <v>46</v>
      </c>
      <c r="D290" s="13" t="s">
        <v>162</v>
      </c>
      <c r="E290" s="10" t="s">
        <v>158</v>
      </c>
      <c r="F290" s="10"/>
      <c r="G290" s="13"/>
      <c r="H290" s="13" t="s">
        <v>39</v>
      </c>
      <c r="I290" s="11" t="n">
        <v>0.0805787037037037</v>
      </c>
      <c r="J290" s="14" t="n">
        <f aca="false">VALUE(SUBSTITUTE($A$240,"miles",""))/(I290*24)</f>
        <v>25.8546394714163</v>
      </c>
    </row>
    <row r="291" s="1" customFormat="true" ht="15" hidden="false" customHeight="false" outlineLevel="0" collapsed="false">
      <c r="A291" s="10"/>
      <c r="B291" s="13" t="n">
        <v>71</v>
      </c>
      <c r="C291" s="10" t="s">
        <v>46</v>
      </c>
      <c r="D291" s="13" t="s">
        <v>177</v>
      </c>
      <c r="E291" s="10" t="s">
        <v>158</v>
      </c>
      <c r="F291" s="10"/>
      <c r="G291" s="13"/>
      <c r="H291" s="13" t="s">
        <v>39</v>
      </c>
      <c r="I291" s="11" t="n">
        <v>0.0840162037037037</v>
      </c>
      <c r="J291" s="14" t="n">
        <f aca="false">VALUE(SUBSTITUTE($A$240,"miles",""))/(I291*24)</f>
        <v>24.7968039674886</v>
      </c>
    </row>
    <row r="292" customFormat="false" ht="15" hidden="false" customHeight="false" outlineLevel="0" collapsed="false">
      <c r="A292" s="10"/>
      <c r="B292" s="8" t="n">
        <v>71</v>
      </c>
      <c r="C292" s="7" t="s">
        <v>56</v>
      </c>
      <c r="D292" s="8" t="s">
        <v>178</v>
      </c>
      <c r="E292" s="7" t="s">
        <v>176</v>
      </c>
      <c r="F292" s="7"/>
      <c r="G292" s="8"/>
      <c r="H292" s="8"/>
      <c r="I292" s="9" t="n">
        <v>0.0917013888888889</v>
      </c>
      <c r="J292" s="12" t="n">
        <f aca="false">VALUE(SUBSTITUTE($A$240,"miles",""))/(I292*24)</f>
        <v>22.7186671715259</v>
      </c>
    </row>
    <row r="293" customFormat="false" ht="15" hidden="false" customHeight="false" outlineLevel="0" collapsed="false">
      <c r="A293" s="10"/>
      <c r="B293" s="8" t="n">
        <v>72</v>
      </c>
      <c r="C293" s="7" t="s">
        <v>48</v>
      </c>
      <c r="D293" s="8" t="n">
        <v>1999</v>
      </c>
      <c r="E293" s="7"/>
      <c r="F293" s="7"/>
      <c r="G293" s="8"/>
      <c r="H293" s="8"/>
      <c r="I293" s="9" t="n">
        <v>0.093125</v>
      </c>
      <c r="J293" s="12" t="n">
        <f aca="false">VALUE(SUBSTITUTE($A$240,"miles",""))/(I293*24)</f>
        <v>22.3713646532438</v>
      </c>
    </row>
    <row r="294" customFormat="false" ht="15" hidden="false" customHeight="false" outlineLevel="0" collapsed="false">
      <c r="A294" s="10"/>
      <c r="B294" s="13" t="n">
        <v>73</v>
      </c>
      <c r="C294" s="10" t="s">
        <v>46</v>
      </c>
      <c r="D294" s="13" t="s">
        <v>179</v>
      </c>
      <c r="E294" s="10" t="s">
        <v>171</v>
      </c>
      <c r="F294" s="10"/>
      <c r="G294" s="13"/>
      <c r="H294" s="13" t="s">
        <v>39</v>
      </c>
      <c r="I294" s="11" t="n">
        <v>0.0855555555555556</v>
      </c>
      <c r="J294" s="14" t="n">
        <f aca="false">VALUE(SUBSTITUTE($A$240,"miles",""))/(I294*24)</f>
        <v>24.3506493506493</v>
      </c>
    </row>
    <row r="295" customFormat="false" ht="15" hidden="false" customHeight="false" outlineLevel="0" collapsed="false">
      <c r="A295" s="10"/>
      <c r="B295" s="13" t="n">
        <v>74</v>
      </c>
      <c r="C295" s="10" t="s">
        <v>46</v>
      </c>
      <c r="D295" s="13" t="s">
        <v>180</v>
      </c>
      <c r="E295" s="10" t="s">
        <v>171</v>
      </c>
      <c r="F295" s="10"/>
      <c r="G295" s="8"/>
      <c r="H295" s="8"/>
      <c r="I295" s="11" t="n">
        <v>0.0863310185185185</v>
      </c>
      <c r="J295" s="14" t="n">
        <f aca="false">VALUE(SUBSTITUTE($A$240,"miles",""))/(I295*24)</f>
        <v>24.1319211690575</v>
      </c>
    </row>
    <row r="296" customFormat="false" ht="15" hidden="false" customHeight="false" outlineLevel="0" collapsed="false">
      <c r="A296" s="10"/>
      <c r="B296" s="8" t="n">
        <v>73</v>
      </c>
      <c r="C296" s="7" t="s">
        <v>56</v>
      </c>
      <c r="D296" s="8" t="n">
        <v>2004</v>
      </c>
      <c r="E296" s="7"/>
      <c r="F296" s="7"/>
      <c r="G296" s="8"/>
      <c r="H296" s="8"/>
      <c r="I296" s="9" t="n">
        <v>0.0965277777777778</v>
      </c>
      <c r="J296" s="12" t="n">
        <f aca="false">VALUE(SUBSTITUTE($A$240,"miles",""))/(I296*24)</f>
        <v>21.5827338129496</v>
      </c>
    </row>
    <row r="297" customFormat="false" ht="15" hidden="false" customHeight="false" outlineLevel="0" collapsed="false">
      <c r="A297" s="10"/>
      <c r="B297" s="8" t="n">
        <v>74</v>
      </c>
      <c r="C297" s="7" t="s">
        <v>56</v>
      </c>
      <c r="D297" s="8" t="n">
        <v>2005</v>
      </c>
      <c r="E297" s="7"/>
      <c r="F297" s="7"/>
      <c r="G297" s="8"/>
      <c r="H297" s="8"/>
      <c r="I297" s="9" t="n">
        <v>0.0983217592592593</v>
      </c>
      <c r="J297" s="12" t="n">
        <f aca="false">VALUE(SUBSTITUTE($A$240,"miles",""))/(I297*24)</f>
        <v>21.1889346674514</v>
      </c>
    </row>
    <row r="298" customFormat="false" ht="15" hidden="false" customHeight="false" outlineLevel="0" collapsed="false">
      <c r="A298" s="10"/>
      <c r="B298" s="8" t="n">
        <v>75</v>
      </c>
      <c r="C298" s="7" t="s">
        <v>46</v>
      </c>
      <c r="D298" s="8" t="s">
        <v>181</v>
      </c>
      <c r="E298" s="7" t="s">
        <v>171</v>
      </c>
      <c r="F298" s="7"/>
      <c r="G298" s="9"/>
      <c r="H298" s="12"/>
      <c r="I298" s="9" t="n">
        <v>0.0873726851851852</v>
      </c>
      <c r="J298" s="12" t="n">
        <f aca="false">VALUE(SUBSTITUTE($A$240,"miles",""))/(I298*24)</f>
        <v>23.844217777189</v>
      </c>
    </row>
    <row r="299" customFormat="false" ht="15" hidden="false" customHeight="false" outlineLevel="0" collapsed="false">
      <c r="A299" s="10"/>
      <c r="B299" s="8" t="n">
        <v>75</v>
      </c>
      <c r="C299" s="7" t="s">
        <v>56</v>
      </c>
      <c r="D299" s="8" t="n">
        <v>2006</v>
      </c>
      <c r="E299" s="7"/>
      <c r="F299" s="7"/>
      <c r="G299" s="8"/>
      <c r="H299" s="8" t="s">
        <v>19</v>
      </c>
      <c r="I299" s="9" t="n">
        <v>0.0958680555555556</v>
      </c>
      <c r="J299" s="12" t="n">
        <f aca="false">VALUE(SUBSTITUTE($A$240,"miles",""))/(I299*24)</f>
        <v>21.7312567910177</v>
      </c>
    </row>
    <row r="300" customFormat="false" ht="15" hidden="false" customHeight="false" outlineLevel="0" collapsed="false">
      <c r="A300" s="10"/>
      <c r="B300" s="8" t="n">
        <v>76</v>
      </c>
      <c r="C300" s="10" t="s">
        <v>46</v>
      </c>
      <c r="D300" s="13" t="s">
        <v>182</v>
      </c>
      <c r="E300" s="10" t="s">
        <v>171</v>
      </c>
      <c r="F300" s="10"/>
      <c r="G300" s="13"/>
      <c r="H300" s="13" t="s">
        <v>39</v>
      </c>
      <c r="I300" s="11" t="n">
        <v>0.0864236111111111</v>
      </c>
      <c r="J300" s="14" t="n">
        <f aca="false">VALUE(SUBSTITUTE($A$240,"miles",""))/(I300*24)</f>
        <v>24.1060666934512</v>
      </c>
    </row>
    <row r="301" customFormat="false" ht="15" hidden="false" customHeight="false" outlineLevel="0" collapsed="false">
      <c r="A301" s="10"/>
      <c r="B301" s="8" t="n">
        <v>76</v>
      </c>
      <c r="C301" s="7" t="s">
        <v>56</v>
      </c>
      <c r="D301" s="8" t="n">
        <v>2007</v>
      </c>
      <c r="E301" s="7"/>
      <c r="F301" s="7"/>
      <c r="G301" s="8"/>
      <c r="H301" s="8" t="s">
        <v>19</v>
      </c>
      <c r="I301" s="9" t="n">
        <v>0.0936921296296296</v>
      </c>
      <c r="J301" s="12" t="n">
        <f aca="false">VALUE(SUBSTITUTE($A$240,"miles",""))/(I301*24)</f>
        <v>22.2359481161211</v>
      </c>
    </row>
    <row r="302" s="1" customFormat="true" ht="15" hidden="false" customHeight="false" outlineLevel="0" collapsed="false">
      <c r="A302" s="10"/>
      <c r="B302" s="13" t="n">
        <v>77</v>
      </c>
      <c r="C302" s="10" t="s">
        <v>56</v>
      </c>
      <c r="D302" s="13" t="s">
        <v>183</v>
      </c>
      <c r="E302" s="10" t="s">
        <v>184</v>
      </c>
      <c r="F302" s="10"/>
      <c r="G302" s="8"/>
      <c r="H302" s="8"/>
      <c r="I302" s="11" t="n">
        <v>0.0928819444444444</v>
      </c>
      <c r="J302" s="14" t="n">
        <f aca="false">VALUE(SUBSTITUTE($A$240,"miles",""))/(I302*24)</f>
        <v>22.4299065420561</v>
      </c>
    </row>
    <row r="303" customFormat="false" ht="9" hidden="false" customHeight="true" outlineLevel="0" collapsed="false">
      <c r="A303" s="10"/>
      <c r="B303" s="8"/>
      <c r="C303" s="7"/>
      <c r="D303" s="8"/>
      <c r="E303" s="7"/>
      <c r="F303" s="7"/>
      <c r="G303" s="8"/>
      <c r="H303" s="8"/>
      <c r="I303" s="9"/>
      <c r="J303" s="9"/>
    </row>
    <row r="304" customFormat="false" ht="15" hidden="false" customHeight="true" outlineLevel="0" collapsed="false">
      <c r="A304" s="10" t="s">
        <v>185</v>
      </c>
      <c r="B304" s="8" t="n">
        <v>46</v>
      </c>
      <c r="C304" s="7" t="s">
        <v>15</v>
      </c>
      <c r="D304" s="8" t="n">
        <v>1986</v>
      </c>
      <c r="E304" s="7"/>
      <c r="F304" s="7"/>
      <c r="G304" s="8"/>
      <c r="H304" s="8"/>
      <c r="I304" s="9" t="n">
        <v>0.18412037037037</v>
      </c>
      <c r="J304" s="12" t="n">
        <f aca="false">VALUE(SUBSTITUTE($A$304,"miles",""))/(I304*24)</f>
        <v>22.6301232084486</v>
      </c>
    </row>
    <row r="305" customFormat="false" ht="15" hidden="false" customHeight="true" outlineLevel="0" collapsed="false">
      <c r="A305" s="10"/>
      <c r="B305" s="8" t="n">
        <v>47</v>
      </c>
      <c r="C305" s="7" t="s">
        <v>15</v>
      </c>
      <c r="D305" s="8" t="n">
        <v>1987</v>
      </c>
      <c r="E305" s="7"/>
      <c r="F305" s="7"/>
      <c r="G305" s="8"/>
      <c r="H305" s="8"/>
      <c r="I305" s="9" t="n">
        <v>0.184247685185185</v>
      </c>
      <c r="J305" s="12" t="n">
        <f aca="false">VALUE(SUBSTITUTE($A$304,"miles",""))/(I305*24)</f>
        <v>22.6144858345374</v>
      </c>
    </row>
    <row r="306" customFormat="false" ht="15" hidden="false" customHeight="true" outlineLevel="0" collapsed="false">
      <c r="A306" s="10"/>
      <c r="B306" s="8" t="n">
        <v>48</v>
      </c>
      <c r="C306" s="7" t="s">
        <v>13</v>
      </c>
      <c r="D306" s="8" t="n">
        <v>2000</v>
      </c>
      <c r="E306" s="7" t="s">
        <v>186</v>
      </c>
      <c r="F306" s="7"/>
      <c r="G306" s="8" t="s">
        <v>14</v>
      </c>
      <c r="H306" s="8"/>
      <c r="I306" s="9" t="n">
        <v>0.157337962962963</v>
      </c>
      <c r="J306" s="12" t="n">
        <f aca="false">VALUE(SUBSTITUTE($A$304,"miles",""))/(I306*24)</f>
        <v>26.4822715904075</v>
      </c>
    </row>
    <row r="307" customFormat="false" ht="15" hidden="false" customHeight="true" outlineLevel="0" collapsed="false">
      <c r="A307" s="10"/>
      <c r="B307" s="8" t="n">
        <v>48</v>
      </c>
      <c r="C307" s="7" t="s">
        <v>15</v>
      </c>
      <c r="D307" s="8" t="n">
        <v>1988</v>
      </c>
      <c r="E307" s="7"/>
      <c r="F307" s="7"/>
      <c r="G307" s="8"/>
      <c r="H307" s="8"/>
      <c r="I307" s="9" t="n">
        <v>0.175625</v>
      </c>
      <c r="J307" s="12" t="n">
        <f aca="false">VALUE(SUBSTITUTE($A$304,"miles",""))/(I307*24)</f>
        <v>23.7247924080664</v>
      </c>
    </row>
    <row r="308" customFormat="false" ht="15" hidden="false" customHeight="true" outlineLevel="0" collapsed="false">
      <c r="A308" s="10"/>
      <c r="B308" s="8" t="n">
        <v>49</v>
      </c>
      <c r="C308" s="7" t="s">
        <v>15</v>
      </c>
      <c r="D308" s="8" t="n">
        <v>1989</v>
      </c>
      <c r="E308" s="7"/>
      <c r="F308" s="7"/>
      <c r="G308" s="8"/>
      <c r="H308" s="8"/>
      <c r="I308" s="9" t="n">
        <v>0.171724537037037</v>
      </c>
      <c r="J308" s="12" t="n">
        <f aca="false">VALUE(SUBSTITUTE($A$304,"miles",""))/(I308*24)</f>
        <v>24.2636651614208</v>
      </c>
    </row>
    <row r="309" customFormat="false" ht="15" hidden="false" customHeight="true" outlineLevel="0" collapsed="false">
      <c r="A309" s="10"/>
      <c r="B309" s="8" t="n">
        <v>50</v>
      </c>
      <c r="C309" s="7" t="s">
        <v>15</v>
      </c>
      <c r="D309" s="8" t="n">
        <v>1990</v>
      </c>
      <c r="E309" s="7"/>
      <c r="F309" s="7"/>
      <c r="G309" s="8"/>
      <c r="H309" s="8" t="s">
        <v>19</v>
      </c>
      <c r="I309" s="9" t="n">
        <v>0.164351851851852</v>
      </c>
      <c r="J309" s="12" t="n">
        <f aca="false">VALUE(SUBSTITUTE($A$304,"miles",""))/(I309*24)</f>
        <v>25.3521126760563</v>
      </c>
    </row>
    <row r="310" customFormat="false" ht="15" hidden="false" customHeight="true" outlineLevel="0" collapsed="false">
      <c r="A310" s="10"/>
      <c r="B310" s="8" t="n">
        <v>51</v>
      </c>
      <c r="C310" s="7" t="s">
        <v>15</v>
      </c>
      <c r="D310" s="8" t="n">
        <v>1991</v>
      </c>
      <c r="E310" s="7"/>
      <c r="F310" s="7"/>
      <c r="G310" s="8"/>
      <c r="H310" s="8" t="s">
        <v>19</v>
      </c>
      <c r="I310" s="9" t="n">
        <v>0.1640625</v>
      </c>
      <c r="J310" s="12" t="n">
        <f aca="false">VALUE(SUBSTITUTE($A$304,"miles",""))/(I310*24)</f>
        <v>25.3968253968254</v>
      </c>
    </row>
    <row r="311" customFormat="false" ht="15" hidden="false" customHeight="true" outlineLevel="0" collapsed="false">
      <c r="A311" s="10"/>
      <c r="B311" s="8" t="n">
        <v>53</v>
      </c>
      <c r="C311" s="7" t="s">
        <v>15</v>
      </c>
      <c r="D311" s="8" t="n">
        <v>1993</v>
      </c>
      <c r="E311" s="7"/>
      <c r="F311" s="7"/>
      <c r="G311" s="8"/>
      <c r="H311" s="8"/>
      <c r="I311" s="9" t="n">
        <v>0.171145833333333</v>
      </c>
      <c r="J311" s="12" t="n">
        <f aca="false">VALUE(SUBSTITUTE($A$304,"miles",""))/(I311*24)</f>
        <v>24.3457090687767</v>
      </c>
    </row>
    <row r="312" customFormat="false" ht="15" hidden="false" customHeight="true" outlineLevel="0" collapsed="false">
      <c r="A312" s="10"/>
      <c r="B312" s="8" t="n">
        <v>54</v>
      </c>
      <c r="C312" s="7" t="s">
        <v>13</v>
      </c>
      <c r="D312" s="8" t="n">
        <v>2006</v>
      </c>
      <c r="E312" s="7"/>
      <c r="F312" s="7"/>
      <c r="G312" s="8"/>
      <c r="H312" s="8" t="s">
        <v>19</v>
      </c>
      <c r="I312" s="9" t="n">
        <v>0.157303240740741</v>
      </c>
      <c r="J312" s="12" t="n">
        <f aca="false">VALUE(SUBSTITUTE($A$304,"miles",""))/(I312*24)</f>
        <v>26.4881171363402</v>
      </c>
    </row>
    <row r="313" customFormat="false" ht="15" hidden="false" customHeight="true" outlineLevel="0" collapsed="false">
      <c r="A313" s="10"/>
      <c r="B313" s="8" t="n">
        <v>54</v>
      </c>
      <c r="C313" s="7" t="s">
        <v>15</v>
      </c>
      <c r="D313" s="8" t="n">
        <v>1994</v>
      </c>
      <c r="E313" s="7"/>
      <c r="F313" s="7"/>
      <c r="G313" s="8"/>
      <c r="H313" s="8"/>
      <c r="I313" s="9" t="n">
        <v>0.172951388888889</v>
      </c>
      <c r="J313" s="12" t="n">
        <f aca="false">VALUE(SUBSTITUTE($A$304,"miles",""))/(I313*24)</f>
        <v>24.0915478819514</v>
      </c>
    </row>
    <row r="314" customFormat="false" ht="15" hidden="false" customHeight="true" outlineLevel="0" collapsed="false">
      <c r="A314" s="10"/>
      <c r="B314" s="8" t="n">
        <v>55</v>
      </c>
      <c r="C314" s="7" t="s">
        <v>13</v>
      </c>
      <c r="D314" s="8" t="n">
        <v>2007</v>
      </c>
      <c r="E314" s="7"/>
      <c r="F314" s="7"/>
      <c r="G314" s="8" t="s">
        <v>14</v>
      </c>
      <c r="H314" s="8" t="s">
        <v>19</v>
      </c>
      <c r="I314" s="9" t="n">
        <v>0.157025462962963</v>
      </c>
      <c r="J314" s="12" t="n">
        <f aca="false">VALUE(SUBSTITUTE($A$304,"miles",""))/(I314*24)</f>
        <v>26.5349745706494</v>
      </c>
    </row>
    <row r="315" customFormat="false" ht="15" hidden="false" customHeight="true" outlineLevel="0" collapsed="false">
      <c r="A315" s="10"/>
      <c r="B315" s="8" t="n">
        <v>55</v>
      </c>
      <c r="C315" s="7" t="s">
        <v>16</v>
      </c>
      <c r="D315" s="8" t="n">
        <v>1991</v>
      </c>
      <c r="E315" s="7"/>
      <c r="F315" s="7"/>
      <c r="G315" s="8"/>
      <c r="H315" s="8"/>
      <c r="I315" s="9" t="n">
        <v>0.176782407407407</v>
      </c>
      <c r="J315" s="12" t="n">
        <f aca="false">VALUE(SUBSTITUTE($A$304,"miles",""))/(I315*24)</f>
        <v>23.5694644493912</v>
      </c>
    </row>
    <row r="316" customFormat="false" ht="15" hidden="false" customHeight="true" outlineLevel="0" collapsed="false">
      <c r="A316" s="10"/>
      <c r="B316" s="8" t="n">
        <v>56</v>
      </c>
      <c r="C316" s="7" t="s">
        <v>13</v>
      </c>
      <c r="D316" s="8" t="n">
        <v>2008</v>
      </c>
      <c r="E316" s="7"/>
      <c r="F316" s="7"/>
      <c r="G316" s="8" t="s">
        <v>14</v>
      </c>
      <c r="H316" s="8" t="s">
        <v>19</v>
      </c>
      <c r="I316" s="9" t="n">
        <v>0.157337962962963</v>
      </c>
      <c r="J316" s="12" t="n">
        <f aca="false">VALUE(SUBSTITUTE($A$304,"miles",""))/(I316*24)</f>
        <v>26.4822715904075</v>
      </c>
    </row>
    <row r="317" customFormat="false" ht="15" hidden="false" customHeight="true" outlineLevel="0" collapsed="false">
      <c r="A317" s="10"/>
      <c r="B317" s="8" t="n">
        <v>56</v>
      </c>
      <c r="C317" s="7" t="s">
        <v>13</v>
      </c>
      <c r="D317" s="8" t="n">
        <v>2008</v>
      </c>
      <c r="E317" s="7"/>
      <c r="F317" s="7"/>
      <c r="G317" s="8"/>
      <c r="H317" s="8"/>
      <c r="I317" s="9" t="n">
        <v>0.163564814814815</v>
      </c>
      <c r="J317" s="12" t="n">
        <f aca="false">VALUE(SUBSTITUTE($A$304,"miles",""))/(I317*24)</f>
        <v>25.4741013303142</v>
      </c>
    </row>
    <row r="318" customFormat="false" ht="15" hidden="false" customHeight="true" outlineLevel="0" collapsed="false">
      <c r="A318" s="10"/>
      <c r="B318" s="8" t="n">
        <v>56</v>
      </c>
      <c r="C318" s="7" t="s">
        <v>29</v>
      </c>
      <c r="D318" s="8" t="n">
        <v>1977</v>
      </c>
      <c r="E318" s="7"/>
      <c r="F318" s="7"/>
      <c r="G318" s="8"/>
      <c r="H318" s="8"/>
      <c r="I318" s="9" t="n">
        <v>0.192361111111111</v>
      </c>
      <c r="J318" s="12" t="n">
        <f aca="false">VALUE(SUBSTITUTE($A$304,"miles",""))/(I318*24)</f>
        <v>21.6606498194946</v>
      </c>
    </row>
    <row r="319" customFormat="false" ht="15" hidden="false" customHeight="true" outlineLevel="0" collapsed="false">
      <c r="A319" s="10"/>
      <c r="B319" s="8" t="n">
        <v>57</v>
      </c>
      <c r="C319" s="7" t="s">
        <v>29</v>
      </c>
      <c r="D319" s="8" t="n">
        <v>1978</v>
      </c>
      <c r="E319" s="7"/>
      <c r="F319" s="7"/>
      <c r="G319" s="8"/>
      <c r="H319" s="8"/>
      <c r="I319" s="9" t="n">
        <v>0.193368055555556</v>
      </c>
      <c r="J319" s="12" t="n">
        <f aca="false">VALUE(SUBSTITUTE($A$304,"miles",""))/(I319*24)</f>
        <v>21.5478541928532</v>
      </c>
    </row>
    <row r="320" customFormat="false" ht="15" hidden="false" customHeight="true" outlineLevel="0" collapsed="false">
      <c r="A320" s="10"/>
      <c r="B320" s="8" t="n">
        <v>58</v>
      </c>
      <c r="C320" s="7" t="s">
        <v>29</v>
      </c>
      <c r="D320" s="8" t="n">
        <v>1979</v>
      </c>
      <c r="E320" s="7"/>
      <c r="F320" s="7"/>
      <c r="G320" s="8"/>
      <c r="H320" s="8"/>
      <c r="I320" s="9" t="n">
        <v>0.200439814814815</v>
      </c>
      <c r="J320" s="12" t="n">
        <f aca="false">VALUE(SUBSTITUTE($A$304,"miles",""))/(I320*24)</f>
        <v>20.7876198175309</v>
      </c>
    </row>
    <row r="321" s="1" customFormat="true" ht="15" hidden="false" customHeight="true" outlineLevel="0" collapsed="false">
      <c r="A321" s="10"/>
      <c r="B321" s="13" t="n">
        <v>59</v>
      </c>
      <c r="C321" s="10" t="s">
        <v>13</v>
      </c>
      <c r="D321" s="13" t="s">
        <v>187</v>
      </c>
      <c r="E321" s="10" t="s">
        <v>188</v>
      </c>
      <c r="F321" s="10" t="s">
        <v>128</v>
      </c>
      <c r="G321" s="13"/>
      <c r="H321" s="13" t="s">
        <v>39</v>
      </c>
      <c r="I321" s="11" t="n">
        <v>0.1559375</v>
      </c>
      <c r="J321" s="14" t="n">
        <f aca="false">VALUE(SUBSTITUTE($A$304,"miles",""))/(I321*24)</f>
        <v>26.7201068804275</v>
      </c>
    </row>
    <row r="322" customFormat="false" ht="15" hidden="false" customHeight="true" outlineLevel="0" collapsed="false">
      <c r="A322" s="10"/>
      <c r="B322" s="8" t="n">
        <v>61</v>
      </c>
      <c r="C322" s="7" t="s">
        <v>29</v>
      </c>
      <c r="D322" s="8" t="n">
        <v>1982</v>
      </c>
      <c r="E322" s="7"/>
      <c r="F322" s="7"/>
      <c r="G322" s="8"/>
      <c r="H322" s="8"/>
      <c r="I322" s="9" t="n">
        <v>0.200300925925926</v>
      </c>
      <c r="J322" s="12" t="n">
        <f aca="false">VALUE(SUBSTITUTE($A$304,"miles",""))/(I322*24)</f>
        <v>20.8020339766555</v>
      </c>
    </row>
    <row r="323" customFormat="false" ht="15" hidden="false" customHeight="true" outlineLevel="0" collapsed="false">
      <c r="A323" s="10"/>
      <c r="B323" s="8" t="n">
        <v>62</v>
      </c>
      <c r="C323" s="7" t="s">
        <v>13</v>
      </c>
      <c r="D323" s="8" t="s">
        <v>189</v>
      </c>
      <c r="E323" s="7" t="s">
        <v>188</v>
      </c>
      <c r="F323" s="7"/>
      <c r="G323" s="8" t="s">
        <v>14</v>
      </c>
      <c r="H323" s="8" t="s">
        <v>19</v>
      </c>
      <c r="I323" s="9" t="n">
        <v>0.158090277777778</v>
      </c>
      <c r="J323" s="12" t="n">
        <f aca="false">VALUE(SUBSTITUTE($A$304,"miles",""))/(I323*24)</f>
        <v>26.3562486272787</v>
      </c>
    </row>
    <row r="324" customFormat="false" ht="15" hidden="false" customHeight="true" outlineLevel="0" collapsed="false">
      <c r="A324" s="10"/>
      <c r="B324" s="8" t="n">
        <v>62</v>
      </c>
      <c r="C324" s="7" t="s">
        <v>29</v>
      </c>
      <c r="D324" s="8" t="n">
        <v>1983</v>
      </c>
      <c r="E324" s="7"/>
      <c r="F324" s="7"/>
      <c r="G324" s="8"/>
      <c r="H324" s="8"/>
      <c r="I324" s="9" t="n">
        <v>0.204861111111111</v>
      </c>
      <c r="J324" s="12" t="n">
        <f aca="false">VALUE(SUBSTITUTE($A$304,"miles",""))/(I324*24)</f>
        <v>20.3389830508475</v>
      </c>
    </row>
    <row r="325" customFormat="false" ht="15" hidden="false" customHeight="true" outlineLevel="0" collapsed="false">
      <c r="A325" s="10"/>
      <c r="B325" s="8" t="n">
        <v>63</v>
      </c>
      <c r="C325" s="7" t="s">
        <v>32</v>
      </c>
      <c r="D325" s="8" t="n">
        <v>1993</v>
      </c>
      <c r="E325" s="7"/>
      <c r="F325" s="7"/>
      <c r="G325" s="8"/>
      <c r="H325" s="8"/>
      <c r="I325" s="9" t="n">
        <v>0.186168981481482</v>
      </c>
      <c r="J325" s="12" t="n">
        <f aca="false">VALUE(SUBSTITUTE($A$304,"miles",""))/(I325*24)</f>
        <v>22.3811004041031</v>
      </c>
    </row>
    <row r="326" customFormat="false" ht="15" hidden="false" customHeight="true" outlineLevel="0" collapsed="false">
      <c r="A326" s="10"/>
      <c r="B326" s="8" t="n">
        <v>63</v>
      </c>
      <c r="C326" s="7" t="s">
        <v>29</v>
      </c>
      <c r="D326" s="8" t="n">
        <v>1984</v>
      </c>
      <c r="E326" s="7"/>
      <c r="F326" s="7"/>
      <c r="G326" s="8"/>
      <c r="H326" s="8"/>
      <c r="I326" s="9" t="n">
        <v>0.202060185185185</v>
      </c>
      <c r="J326" s="12" t="n">
        <f aca="false">VALUE(SUBSTITUTE($A$304,"miles",""))/(I326*24)</f>
        <v>20.6209187764922</v>
      </c>
    </row>
    <row r="327" customFormat="false" ht="15" hidden="false" customHeight="true" outlineLevel="0" collapsed="false">
      <c r="A327" s="10"/>
      <c r="B327" s="8" t="n">
        <v>64</v>
      </c>
      <c r="C327" s="7" t="s">
        <v>13</v>
      </c>
      <c r="D327" s="8" t="s">
        <v>190</v>
      </c>
      <c r="E327" s="7" t="s">
        <v>188</v>
      </c>
      <c r="F327" s="7"/>
      <c r="G327" s="8"/>
      <c r="H327" s="8"/>
      <c r="I327" s="9" t="n">
        <v>0.162083333333333</v>
      </c>
      <c r="J327" s="12" t="n">
        <f aca="false">VALUE(SUBSTITUTE($A$304,"miles",""))/(I327*24)</f>
        <v>25.706940874036</v>
      </c>
    </row>
    <row r="328" customFormat="false" ht="15" hidden="false" customHeight="true" outlineLevel="0" collapsed="false">
      <c r="A328" s="10"/>
      <c r="B328" s="8" t="n">
        <v>64</v>
      </c>
      <c r="C328" s="7" t="s">
        <v>29</v>
      </c>
      <c r="D328" s="8" t="n">
        <v>1985</v>
      </c>
      <c r="E328" s="7"/>
      <c r="F328" s="7"/>
      <c r="G328" s="8"/>
      <c r="H328" s="8"/>
      <c r="I328" s="9" t="n">
        <v>0.200277777777778</v>
      </c>
      <c r="J328" s="12" t="n">
        <f aca="false">VALUE(SUBSTITUTE($A$304,"miles",""))/(I328*24)</f>
        <v>20.8044382801664</v>
      </c>
    </row>
    <row r="329" customFormat="false" ht="15" hidden="false" customHeight="true" outlineLevel="0" collapsed="false">
      <c r="A329" s="10"/>
      <c r="B329" s="13" t="n">
        <v>65</v>
      </c>
      <c r="C329" s="10" t="s">
        <v>33</v>
      </c>
      <c r="D329" s="13" t="s">
        <v>54</v>
      </c>
      <c r="E329" s="10" t="s">
        <v>191</v>
      </c>
      <c r="F329" s="10"/>
      <c r="G329" s="13"/>
      <c r="H329" s="13" t="s">
        <v>39</v>
      </c>
      <c r="I329" s="11" t="n">
        <v>0.157719907407407</v>
      </c>
      <c r="J329" s="14" t="n">
        <f aca="false">VALUE(SUBSTITUTE($A$304,"miles",""))/(I329*24)</f>
        <v>26.4181404564468</v>
      </c>
    </row>
    <row r="330" customFormat="false" ht="15" hidden="false" customHeight="true" outlineLevel="0" collapsed="false">
      <c r="A330" s="10"/>
      <c r="B330" s="8" t="n">
        <v>65</v>
      </c>
      <c r="C330" s="7" t="s">
        <v>13</v>
      </c>
      <c r="D330" s="8" t="s">
        <v>192</v>
      </c>
      <c r="E330" s="7" t="s">
        <v>188</v>
      </c>
      <c r="F330" s="7"/>
      <c r="G330" s="8" t="s">
        <v>14</v>
      </c>
      <c r="H330" s="8" t="s">
        <v>19</v>
      </c>
      <c r="I330" s="9" t="n">
        <v>0.16125</v>
      </c>
      <c r="J330" s="12" t="n">
        <f aca="false">VALUE(SUBSTITUTE($A$304,"miles",""))/(I330*24)</f>
        <v>25.8397932816537</v>
      </c>
    </row>
    <row r="331" customFormat="false" ht="15" hidden="false" customHeight="true" outlineLevel="0" collapsed="false">
      <c r="A331" s="10"/>
      <c r="B331" s="13" t="n">
        <v>66</v>
      </c>
      <c r="C331" s="10" t="s">
        <v>33</v>
      </c>
      <c r="D331" s="13" t="s">
        <v>21</v>
      </c>
      <c r="E331" s="10" t="s">
        <v>191</v>
      </c>
      <c r="F331" s="10"/>
      <c r="G331" s="13" t="s">
        <v>43</v>
      </c>
      <c r="H331" s="13" t="s">
        <v>39</v>
      </c>
      <c r="I331" s="11" t="n">
        <v>0.1590625</v>
      </c>
      <c r="J331" s="14" t="n">
        <f aca="false">VALUE(SUBSTITUTE($A$304,"miles",""))/(I331*24)</f>
        <v>26.1951538965291</v>
      </c>
    </row>
    <row r="332" customFormat="false" ht="15" hidden="false" customHeight="true" outlineLevel="0" collapsed="false">
      <c r="A332" s="10"/>
      <c r="B332" s="8" t="n">
        <v>66</v>
      </c>
      <c r="C332" s="7" t="s">
        <v>32</v>
      </c>
      <c r="D332" s="8" t="s">
        <v>193</v>
      </c>
      <c r="E332" s="7" t="s">
        <v>194</v>
      </c>
      <c r="F332" s="7"/>
      <c r="G332" s="8" t="s">
        <v>14</v>
      </c>
      <c r="H332" s="8"/>
      <c r="I332" s="9" t="n">
        <v>0.17837962962963</v>
      </c>
      <c r="J332" s="12" t="n">
        <f aca="false">VALUE(SUBSTITUTE($A$304,"miles",""))/(I332*24)</f>
        <v>23.3584220088242</v>
      </c>
    </row>
    <row r="333" customFormat="false" ht="15" hidden="false" customHeight="false" outlineLevel="0" collapsed="false">
      <c r="A333" s="10"/>
      <c r="B333" s="8" t="n">
        <v>66</v>
      </c>
      <c r="C333" s="7" t="s">
        <v>48</v>
      </c>
      <c r="D333" s="8" t="n">
        <v>1993</v>
      </c>
      <c r="E333" s="7"/>
      <c r="F333" s="7"/>
      <c r="G333" s="8"/>
      <c r="H333" s="8" t="s">
        <v>19</v>
      </c>
      <c r="I333" s="9" t="n">
        <v>0.188958333333333</v>
      </c>
      <c r="J333" s="12" t="n">
        <f aca="false">VALUE(SUBSTITUTE($A$304,"miles",""))/(I333*24)</f>
        <v>22.0507166482911</v>
      </c>
    </row>
    <row r="334" customFormat="false" ht="15" hidden="false" customHeight="false" outlineLevel="0" collapsed="false">
      <c r="A334" s="10"/>
      <c r="B334" s="8" t="n">
        <v>66</v>
      </c>
      <c r="C334" s="7" t="s">
        <v>29</v>
      </c>
      <c r="D334" s="8" t="n">
        <v>1987</v>
      </c>
      <c r="E334" s="7"/>
      <c r="F334" s="7"/>
      <c r="G334" s="8"/>
      <c r="H334" s="8" t="s">
        <v>19</v>
      </c>
      <c r="I334" s="9" t="n">
        <v>0.205914351851852</v>
      </c>
      <c r="J334" s="12" t="n">
        <f aca="false">VALUE(SUBSTITUTE($A$304,"miles",""))/(I334*24)</f>
        <v>20.2349502557473</v>
      </c>
    </row>
    <row r="335" customFormat="false" ht="15" hidden="false" customHeight="false" outlineLevel="0" collapsed="false">
      <c r="A335" s="10"/>
      <c r="B335" s="13" t="n">
        <v>67</v>
      </c>
      <c r="C335" s="10" t="s">
        <v>56</v>
      </c>
      <c r="D335" s="13" t="s">
        <v>195</v>
      </c>
      <c r="E335" s="10" t="s">
        <v>196</v>
      </c>
      <c r="F335" s="10"/>
      <c r="G335" s="8"/>
      <c r="H335" s="8"/>
      <c r="I335" s="11" t="n">
        <v>0.20568287037037</v>
      </c>
      <c r="J335" s="14" t="n">
        <f aca="false">VALUE(SUBSTITUTE($A$304,"miles",""))/(I335*24)</f>
        <v>20.2577232569918</v>
      </c>
    </row>
    <row r="336" customFormat="false" ht="15" hidden="false" customHeight="false" outlineLevel="0" collapsed="false">
      <c r="A336" s="10"/>
      <c r="B336" s="8" t="n">
        <v>67</v>
      </c>
      <c r="C336" s="7" t="s">
        <v>29</v>
      </c>
      <c r="D336" s="8" t="n">
        <v>1988</v>
      </c>
      <c r="E336" s="7"/>
      <c r="F336" s="7"/>
      <c r="G336" s="8"/>
      <c r="H336" s="8" t="s">
        <v>19</v>
      </c>
      <c r="I336" s="9" t="n">
        <v>0.205798611111111</v>
      </c>
      <c r="J336" s="12" t="n">
        <f aca="false">VALUE(SUBSTITUTE($A$304,"miles",""))/(I336*24)</f>
        <v>20.2463303526236</v>
      </c>
    </row>
    <row r="337" customFormat="false" ht="15" hidden="false" customHeight="false" outlineLevel="0" collapsed="false">
      <c r="A337" s="10"/>
      <c r="B337" s="13" t="n">
        <v>69</v>
      </c>
      <c r="C337" s="10" t="s">
        <v>56</v>
      </c>
      <c r="D337" s="13" t="s">
        <v>197</v>
      </c>
      <c r="E337" s="10" t="s">
        <v>198</v>
      </c>
      <c r="F337" s="10"/>
      <c r="G337" s="8"/>
      <c r="H337" s="8"/>
      <c r="I337" s="11" t="n">
        <v>0.214143518518518</v>
      </c>
      <c r="J337" s="14" t="n">
        <f aca="false">VALUE(SUBSTITUTE($A$304,"miles",""))/(I337*24)</f>
        <v>19.4573559615177</v>
      </c>
    </row>
    <row r="338" customFormat="false" ht="9" hidden="false" customHeight="true" outlineLevel="0" collapsed="false">
      <c r="A338" s="10"/>
      <c r="B338" s="8"/>
      <c r="C338" s="7"/>
      <c r="D338" s="8"/>
      <c r="E338" s="7"/>
      <c r="F338" s="7"/>
      <c r="G338" s="8"/>
      <c r="H338" s="8"/>
      <c r="I338" s="9"/>
      <c r="J338" s="9"/>
    </row>
    <row r="339" customFormat="false" ht="15" hidden="false" customHeight="false" outlineLevel="0" collapsed="false">
      <c r="A339" s="10" t="s">
        <v>199</v>
      </c>
      <c r="B339" s="8" t="n">
        <v>49</v>
      </c>
      <c r="C339" s="7" t="s">
        <v>15</v>
      </c>
      <c r="D339" s="8" t="n">
        <v>1989</v>
      </c>
      <c r="E339" s="7"/>
      <c r="F339" s="7"/>
      <c r="G339" s="8"/>
      <c r="H339" s="8"/>
      <c r="I339" s="20" t="s">
        <v>200</v>
      </c>
      <c r="J339" s="12" t="n">
        <f aca="false">VALUE(SUBSTITUTE(I339,"m",""))/VALUE(SUBSTITUTE($A$339,"hours",""))</f>
        <v>19.7458333333333</v>
      </c>
    </row>
    <row r="340" customFormat="false" ht="15" hidden="false" customHeight="false" outlineLevel="0" collapsed="false">
      <c r="A340" s="10"/>
      <c r="B340" s="8" t="n">
        <v>50</v>
      </c>
      <c r="C340" s="7" t="s">
        <v>15</v>
      </c>
      <c r="D340" s="8" t="n">
        <v>1990</v>
      </c>
      <c r="E340" s="7"/>
      <c r="F340" s="7"/>
      <c r="G340" s="8"/>
      <c r="H340" s="8" t="s">
        <v>19</v>
      </c>
      <c r="I340" s="20" t="s">
        <v>201</v>
      </c>
      <c r="J340" s="12" t="n">
        <f aca="false">VALUE(SUBSTITUTE(I340,"m",""))/VALUE(SUBSTITUTE($A$339,"hours",""))</f>
        <v>21.0625</v>
      </c>
    </row>
    <row r="341" customFormat="false" ht="15" hidden="false" customHeight="false" outlineLevel="0" collapsed="false">
      <c r="A341" s="10"/>
      <c r="B341" s="8" t="n">
        <v>51</v>
      </c>
      <c r="C341" s="7" t="s">
        <v>15</v>
      </c>
      <c r="D341" s="8" t="n">
        <v>1991</v>
      </c>
      <c r="E341" s="7"/>
      <c r="F341" s="7"/>
      <c r="G341" s="8"/>
      <c r="H341" s="8" t="s">
        <v>19</v>
      </c>
      <c r="I341" s="20" t="s">
        <v>202</v>
      </c>
      <c r="J341" s="12" t="n">
        <f aca="false">VALUE(SUBSTITUTE(I341,"m",""))/VALUE(SUBSTITUTE($A$339,"hours",""))</f>
        <v>21.7225</v>
      </c>
    </row>
    <row r="342" customFormat="false" ht="15" hidden="false" customHeight="false" outlineLevel="0" collapsed="false">
      <c r="A342" s="10"/>
      <c r="B342" s="8" t="n">
        <v>53</v>
      </c>
      <c r="C342" s="7" t="s">
        <v>15</v>
      </c>
      <c r="D342" s="8" t="n">
        <v>1993</v>
      </c>
      <c r="E342" s="7"/>
      <c r="F342" s="7"/>
      <c r="G342" s="8"/>
      <c r="H342" s="8"/>
      <c r="I342" s="20" t="s">
        <v>203</v>
      </c>
      <c r="J342" s="12" t="n">
        <f aca="false">VALUE(SUBSTITUTE(I342,"m",""))/VALUE(SUBSTITUTE($A$339,"hours",""))</f>
        <v>20.7058333333333</v>
      </c>
    </row>
    <row r="343" s="1" customFormat="true" ht="15" hidden="false" customHeight="false" outlineLevel="0" collapsed="false">
      <c r="A343" s="10"/>
      <c r="B343" s="13" t="n">
        <v>55</v>
      </c>
      <c r="C343" s="10" t="s">
        <v>13</v>
      </c>
      <c r="D343" s="13" t="s">
        <v>204</v>
      </c>
      <c r="E343" s="10" t="s">
        <v>205</v>
      </c>
      <c r="F343" s="10" t="s">
        <v>128</v>
      </c>
      <c r="G343" s="13" t="s">
        <v>14</v>
      </c>
      <c r="H343" s="13" t="s">
        <v>39</v>
      </c>
      <c r="I343" s="21" t="s">
        <v>206</v>
      </c>
      <c r="J343" s="14" t="n">
        <f aca="false">VALUE(SUBSTITUTE(I343,"m",""))/VALUE(SUBSTITUTE($A$339,"hours",""))</f>
        <v>23.5916666666667</v>
      </c>
    </row>
    <row r="344" customFormat="false" ht="15" hidden="false" customHeight="false" outlineLevel="0" collapsed="false">
      <c r="A344" s="10"/>
      <c r="B344" s="8" t="n">
        <v>56</v>
      </c>
      <c r="C344" s="7" t="s">
        <v>13</v>
      </c>
      <c r="D344" s="8" t="n">
        <v>2008</v>
      </c>
      <c r="E344" s="7"/>
      <c r="F344" s="7"/>
      <c r="G344" s="8" t="s">
        <v>14</v>
      </c>
      <c r="H344" s="8"/>
      <c r="I344" s="20" t="s">
        <v>207</v>
      </c>
      <c r="J344" s="12" t="n">
        <f aca="false">VALUE(SUBSTITUTE(I344,"m",""))/VALUE(SUBSTITUTE($A$339,"hours",""))</f>
        <v>23.38</v>
      </c>
    </row>
    <row r="345" s="1" customFormat="true" ht="15" hidden="false" customHeight="false" outlineLevel="0" collapsed="false">
      <c r="A345" s="10"/>
      <c r="B345" s="13" t="n">
        <v>58</v>
      </c>
      <c r="C345" s="10" t="s">
        <v>13</v>
      </c>
      <c r="D345" s="13" t="s">
        <v>208</v>
      </c>
      <c r="E345" s="10" t="s">
        <v>209</v>
      </c>
      <c r="F345" s="10"/>
      <c r="G345" s="13" t="s">
        <v>14</v>
      </c>
      <c r="H345" s="13" t="s">
        <v>39</v>
      </c>
      <c r="I345" s="21" t="s">
        <v>210</v>
      </c>
      <c r="J345" s="14" t="n">
        <f aca="false">VALUE(SUBSTITUTE(I345,"m",""))/VALUE(SUBSTITUTE($A$339,"hours",""))</f>
        <v>23.3808333333333</v>
      </c>
    </row>
    <row r="346" customFormat="false" ht="15" hidden="false" customHeight="false" outlineLevel="0" collapsed="false">
      <c r="A346" s="10"/>
      <c r="B346" s="8" t="n">
        <v>58</v>
      </c>
      <c r="C346" s="7" t="s">
        <v>29</v>
      </c>
      <c r="D346" s="8" t="n">
        <v>1979</v>
      </c>
      <c r="E346" s="7"/>
      <c r="F346" s="7"/>
      <c r="G346" s="8"/>
      <c r="H346" s="8" t="s">
        <v>19</v>
      </c>
      <c r="I346" s="20" t="s">
        <v>211</v>
      </c>
      <c r="J346" s="12" t="n">
        <f aca="false">VALUE(SUBSTITUTE(I346,"m",""))/VALUE(SUBSTITUTE($A$339,"hours",""))</f>
        <v>19.725</v>
      </c>
    </row>
    <row r="347" s="1" customFormat="true" ht="15" hidden="false" customHeight="false" outlineLevel="0" collapsed="false">
      <c r="A347" s="10"/>
      <c r="B347" s="13" t="n">
        <v>61</v>
      </c>
      <c r="C347" s="10" t="s">
        <v>13</v>
      </c>
      <c r="D347" s="13" t="s">
        <v>212</v>
      </c>
      <c r="E347" s="10" t="s">
        <v>209</v>
      </c>
      <c r="F347" s="10"/>
      <c r="G347" s="13" t="s">
        <v>14</v>
      </c>
      <c r="H347" s="13" t="s">
        <v>39</v>
      </c>
      <c r="I347" s="21" t="s">
        <v>213</v>
      </c>
      <c r="J347" s="14" t="n">
        <f aca="false">VALUE(SUBSTITUTE(I347,"m",""))/VALUE(SUBSTITUTE($A$339,"hours",""))</f>
        <v>22.9216666666667</v>
      </c>
    </row>
    <row r="348" customFormat="false" ht="15" hidden="false" customHeight="false" outlineLevel="0" collapsed="false">
      <c r="A348" s="10"/>
      <c r="B348" s="8" t="n">
        <v>61</v>
      </c>
      <c r="C348" s="7" t="s">
        <v>214</v>
      </c>
      <c r="D348" s="8" t="s">
        <v>215</v>
      </c>
      <c r="E348" s="7"/>
      <c r="F348" s="7" t="s">
        <v>216</v>
      </c>
      <c r="G348" s="8"/>
      <c r="H348" s="8"/>
      <c r="I348" s="20" t="s">
        <v>217</v>
      </c>
      <c r="J348" s="12" t="n">
        <f aca="false">VALUE(SUBSTITUTE(I348,"m",""))/VALUE(SUBSTITUTE($A$339,"hours",""))</f>
        <v>19.75</v>
      </c>
    </row>
    <row r="349" customFormat="false" ht="15" hidden="false" customHeight="false" outlineLevel="0" collapsed="false">
      <c r="A349" s="10"/>
      <c r="B349" s="8" t="n">
        <v>61</v>
      </c>
      <c r="C349" s="7" t="s">
        <v>29</v>
      </c>
      <c r="D349" s="8" t="n">
        <v>1982</v>
      </c>
      <c r="E349" s="7"/>
      <c r="F349" s="7"/>
      <c r="G349" s="8"/>
      <c r="H349" s="8" t="s">
        <v>19</v>
      </c>
      <c r="I349" s="20" t="s">
        <v>218</v>
      </c>
      <c r="J349" s="12" t="n">
        <f aca="false">VALUE(SUBSTITUTE(I349,"m",""))/VALUE(SUBSTITUTE($A$339,"hours",""))</f>
        <v>18.595</v>
      </c>
    </row>
    <row r="350" s="1" customFormat="true" ht="15" hidden="false" customHeight="false" outlineLevel="0" collapsed="false">
      <c r="A350" s="10"/>
      <c r="B350" s="13" t="n">
        <v>66</v>
      </c>
      <c r="C350" s="10" t="s">
        <v>48</v>
      </c>
      <c r="D350" s="13" t="s">
        <v>219</v>
      </c>
      <c r="E350" s="10" t="s">
        <v>220</v>
      </c>
      <c r="F350" s="10"/>
      <c r="G350" s="13"/>
      <c r="H350" s="13" t="s">
        <v>39</v>
      </c>
      <c r="I350" s="21" t="s">
        <v>221</v>
      </c>
      <c r="J350" s="14" t="n">
        <f aca="false">VALUE(SUBSTITUTE(I350,"m",""))/VALUE(SUBSTITUTE($A$339,"hours",""))</f>
        <v>18.8991666666667</v>
      </c>
    </row>
    <row r="351" customFormat="false" ht="9" hidden="false" customHeight="true" outlineLevel="0" collapsed="false">
      <c r="A351" s="10"/>
      <c r="B351" s="8"/>
      <c r="C351" s="7"/>
      <c r="D351" s="8"/>
      <c r="E351" s="7"/>
      <c r="F351" s="7"/>
      <c r="G351" s="8"/>
      <c r="H351" s="8"/>
      <c r="I351" s="20"/>
      <c r="J351" s="20"/>
    </row>
    <row r="352" s="1" customFormat="true" ht="15" hidden="false" customHeight="false" outlineLevel="0" collapsed="false">
      <c r="A352" s="10" t="s">
        <v>222</v>
      </c>
      <c r="B352" s="13" t="n">
        <v>44</v>
      </c>
      <c r="C352" s="10" t="s">
        <v>223</v>
      </c>
      <c r="D352" s="13" t="s">
        <v>224</v>
      </c>
      <c r="E352" s="10" t="s">
        <v>225</v>
      </c>
      <c r="F352" s="10"/>
      <c r="G352" s="8"/>
      <c r="H352" s="8"/>
      <c r="I352" s="21" t="s">
        <v>226</v>
      </c>
      <c r="J352" s="14" t="n">
        <f aca="false">VALUE(SUBSTITUTE(I352,"m",""))/VALUE(SUBSTITUTE($A$352,"hours",""))</f>
        <v>16.6095833333333</v>
      </c>
    </row>
    <row r="353" customFormat="false" ht="15" hidden="false" customHeight="false" outlineLevel="0" collapsed="false">
      <c r="A353" s="10"/>
      <c r="B353" s="8" t="n">
        <v>45</v>
      </c>
      <c r="C353" s="7" t="s">
        <v>223</v>
      </c>
      <c r="D353" s="8" t="n">
        <v>1994</v>
      </c>
      <c r="E353" s="7"/>
      <c r="F353" s="7"/>
      <c r="G353" s="8"/>
      <c r="H353" s="8"/>
      <c r="I353" s="20" t="s">
        <v>227</v>
      </c>
      <c r="J353" s="12" t="n">
        <f aca="false">VALUE(SUBSTITUTE(I353,"m",""))/VALUE(SUBSTITUTE($A$352,"hours",""))</f>
        <v>15.58875</v>
      </c>
    </row>
    <row r="354" s="1" customFormat="true" ht="15" hidden="false" customHeight="false" outlineLevel="0" collapsed="false">
      <c r="A354" s="10"/>
      <c r="B354" s="13" t="n">
        <v>46</v>
      </c>
      <c r="C354" s="10" t="s">
        <v>223</v>
      </c>
      <c r="D354" s="13" t="s">
        <v>228</v>
      </c>
      <c r="E354" s="10" t="s">
        <v>229</v>
      </c>
      <c r="F354" s="10"/>
      <c r="G354" s="8"/>
      <c r="H354" s="8"/>
      <c r="I354" s="21" t="s">
        <v>230</v>
      </c>
      <c r="J354" s="14" t="n">
        <f aca="false">VALUE(SUBSTITUTE(I354,"m",""))/VALUE(SUBSTITUTE($A$352,"hours",""))</f>
        <v>16.1291666666667</v>
      </c>
    </row>
    <row r="355" s="1" customFormat="true" ht="15" hidden="false" customHeight="false" outlineLevel="0" collapsed="false">
      <c r="A355" s="10"/>
      <c r="B355" s="13" t="n">
        <v>61</v>
      </c>
      <c r="C355" s="10" t="s">
        <v>56</v>
      </c>
      <c r="D355" s="13" t="s">
        <v>231</v>
      </c>
      <c r="E355" s="10" t="s">
        <v>232</v>
      </c>
      <c r="F355" s="10"/>
      <c r="G355" s="8"/>
      <c r="H355" s="8"/>
      <c r="I355" s="21" t="s">
        <v>233</v>
      </c>
      <c r="J355" s="14" t="n">
        <f aca="false">VALUE(SUBSTITUTE(I355,"m",""))/VALUE(SUBSTITUTE($A$352,"hours",""))</f>
        <v>15.02875</v>
      </c>
    </row>
    <row r="356" customFormat="false" ht="15" hidden="false" customHeight="false" outlineLevel="0" collapsed="false">
      <c r="A356" s="10"/>
      <c r="B356" s="8"/>
      <c r="C356" s="7"/>
      <c r="D356" s="8"/>
      <c r="E356" s="7"/>
      <c r="F356" s="7"/>
      <c r="G356" s="8"/>
      <c r="H356" s="8"/>
      <c r="I356" s="20"/>
      <c r="J356" s="20"/>
    </row>
    <row r="357" customFormat="false" ht="15" hidden="false" customHeight="false" outlineLevel="0" collapsed="false">
      <c r="A357" s="10" t="s">
        <v>234</v>
      </c>
      <c r="B357" s="8"/>
      <c r="C357" s="7"/>
      <c r="D357" s="8"/>
      <c r="E357" s="7"/>
      <c r="F357" s="7"/>
      <c r="G357" s="8"/>
      <c r="H357" s="8"/>
      <c r="I357" s="9"/>
      <c r="J357" s="9"/>
    </row>
    <row r="358" customFormat="false" ht="15" hidden="false" customHeight="false" outlineLevel="0" collapsed="false">
      <c r="A358" s="10"/>
      <c r="B358" s="8"/>
      <c r="C358" s="7"/>
      <c r="E358" s="7"/>
      <c r="F358" s="7"/>
      <c r="G358" s="8"/>
      <c r="H358" s="8"/>
      <c r="I358" s="9"/>
      <c r="J358" s="9"/>
    </row>
    <row r="359" customFormat="false" ht="15" hidden="false" customHeight="false" outlineLevel="0" collapsed="false">
      <c r="A359" s="10" t="s">
        <v>8</v>
      </c>
      <c r="B359" s="8" t="n">
        <v>42</v>
      </c>
      <c r="C359" s="7" t="s">
        <v>235</v>
      </c>
      <c r="D359" s="8" t="s">
        <v>236</v>
      </c>
      <c r="E359" s="7" t="s">
        <v>237</v>
      </c>
      <c r="F359" s="7"/>
      <c r="G359" s="8"/>
      <c r="H359" s="8"/>
      <c r="I359" s="9" t="n">
        <v>0.0171296296296296</v>
      </c>
      <c r="J359" s="12" t="n">
        <f aca="false">VALUE(SUBSTITUTE($A$359,"miles",""))/(I359*24)</f>
        <v>24.3243243243244</v>
      </c>
    </row>
    <row r="360" customFormat="false" ht="15" hidden="false" customHeight="false" outlineLevel="0" collapsed="false">
      <c r="A360" s="10"/>
      <c r="B360" s="8" t="n">
        <v>50</v>
      </c>
      <c r="C360" s="7" t="s">
        <v>238</v>
      </c>
      <c r="D360" s="8" t="s">
        <v>239</v>
      </c>
      <c r="E360" s="7" t="s">
        <v>240</v>
      </c>
      <c r="F360" s="7"/>
      <c r="G360" s="8"/>
      <c r="H360" s="8"/>
      <c r="I360" s="9" t="n">
        <v>0.0195601851851852</v>
      </c>
      <c r="J360" s="12" t="n">
        <f aca="false">VALUE(SUBSTITUTE($A$359,"miles",""))/(I360*24)</f>
        <v>21.301775147929</v>
      </c>
    </row>
    <row r="361" s="1" customFormat="true" ht="15" hidden="false" customHeight="false" outlineLevel="0" collapsed="false">
      <c r="A361" s="10"/>
      <c r="B361" s="13" t="n">
        <v>53</v>
      </c>
      <c r="C361" s="10" t="s">
        <v>241</v>
      </c>
      <c r="D361" s="13" t="s">
        <v>242</v>
      </c>
      <c r="E361" s="10" t="s">
        <v>243</v>
      </c>
      <c r="F361" s="10"/>
      <c r="G361" s="8"/>
      <c r="H361" s="8"/>
      <c r="I361" s="11" t="n">
        <v>0.0163310185185185</v>
      </c>
      <c r="J361" s="14" t="n">
        <f aca="false">VALUE(SUBSTITUTE($A$359,"miles",""))/(I361*24)</f>
        <v>25.5138199858257</v>
      </c>
    </row>
    <row r="362" customFormat="false" ht="9" hidden="false" customHeight="true" outlineLevel="0" collapsed="false">
      <c r="A362" s="10"/>
      <c r="B362" s="8"/>
      <c r="C362" s="7"/>
      <c r="D362" s="8"/>
      <c r="E362" s="7"/>
      <c r="F362" s="7"/>
      <c r="G362" s="8"/>
      <c r="H362" s="8"/>
      <c r="I362" s="9"/>
      <c r="J362" s="9"/>
    </row>
    <row r="363" customFormat="false" ht="15" hidden="false" customHeight="true" outlineLevel="0" collapsed="false">
      <c r="A363" s="10" t="s">
        <v>66</v>
      </c>
      <c r="B363" s="13" t="n">
        <v>57</v>
      </c>
      <c r="C363" s="10" t="s">
        <v>241</v>
      </c>
      <c r="D363" s="13" t="s">
        <v>244</v>
      </c>
      <c r="E363" s="10" t="s">
        <v>68</v>
      </c>
      <c r="F363" s="10" t="s">
        <v>128</v>
      </c>
      <c r="G363" s="13"/>
      <c r="H363" s="13"/>
      <c r="I363" s="11" t="n">
        <v>0.0267361111111111</v>
      </c>
      <c r="J363" s="13" t="n">
        <f aca="false">VALUE(SUBSTITUTE($A$363,"miles",""))/(I363*24)</f>
        <v>23.3766233766234</v>
      </c>
    </row>
    <row r="364" customFormat="false" ht="9" hidden="false" customHeight="true" outlineLevel="0" collapsed="false">
      <c r="A364" s="10"/>
      <c r="B364" s="8"/>
      <c r="C364" s="7"/>
      <c r="D364" s="8"/>
      <c r="E364" s="7"/>
      <c r="F364" s="7"/>
      <c r="G364" s="8"/>
      <c r="H364" s="8"/>
      <c r="I364" s="9"/>
      <c r="J364" s="9"/>
    </row>
    <row r="365" customFormat="false" ht="15" hidden="false" customHeight="false" outlineLevel="0" collapsed="false">
      <c r="A365" s="10" t="s">
        <v>80</v>
      </c>
      <c r="B365" s="8" t="n">
        <v>49</v>
      </c>
      <c r="C365" s="7" t="s">
        <v>238</v>
      </c>
      <c r="D365" s="8" t="s">
        <v>245</v>
      </c>
      <c r="E365" s="7" t="s">
        <v>99</v>
      </c>
      <c r="F365" s="7"/>
      <c r="G365" s="8"/>
      <c r="H365" s="8"/>
      <c r="I365" s="9" t="n">
        <v>0.0452199074074074</v>
      </c>
      <c r="J365" s="12" t="n">
        <f aca="false">VALUE(SUBSTITUTE($A$365,"miles",""))/(I365*24)</f>
        <v>23.0355771691835</v>
      </c>
      <c r="L365" s="22"/>
    </row>
    <row r="366" s="1" customFormat="true" ht="15" hidden="false" customHeight="false" outlineLevel="0" collapsed="false">
      <c r="A366" s="10"/>
      <c r="B366" s="13" t="n">
        <v>53</v>
      </c>
      <c r="C366" s="10" t="s">
        <v>241</v>
      </c>
      <c r="D366" s="13" t="s">
        <v>67</v>
      </c>
      <c r="E366" s="10" t="s">
        <v>84</v>
      </c>
      <c r="F366" s="10"/>
      <c r="G366" s="8"/>
      <c r="H366" s="8"/>
      <c r="I366" s="11" t="n">
        <v>0.043125</v>
      </c>
      <c r="J366" s="14" t="n">
        <f aca="false">VALUE(SUBSTITUTE($A$365,"miles",""))/(I366*24)</f>
        <v>24.1545893719807</v>
      </c>
    </row>
    <row r="367" customFormat="false" ht="15" hidden="false" customHeight="false" outlineLevel="0" collapsed="false">
      <c r="A367" s="10"/>
      <c r="B367" s="8"/>
      <c r="C367" s="7"/>
      <c r="D367" s="8"/>
      <c r="E367" s="7"/>
      <c r="F367" s="7"/>
      <c r="G367" s="8"/>
      <c r="H367" s="8"/>
      <c r="I367" s="9"/>
      <c r="J367" s="9"/>
    </row>
    <row r="368" customFormat="false" ht="15" hidden="false" customHeight="false" outlineLevel="0" collapsed="false">
      <c r="A368" s="10" t="s">
        <v>246</v>
      </c>
      <c r="B368" s="8"/>
      <c r="C368" s="7"/>
      <c r="D368" s="8"/>
      <c r="E368" s="7"/>
      <c r="F368" s="7"/>
      <c r="G368" s="8"/>
      <c r="H368" s="8"/>
      <c r="I368" s="9"/>
      <c r="J368" s="9"/>
    </row>
    <row r="369" customFormat="false" ht="15" hidden="false" customHeight="false" outlineLevel="0" collapsed="false">
      <c r="A369" s="10"/>
      <c r="B369" s="8"/>
      <c r="C369" s="7"/>
      <c r="D369" s="8"/>
      <c r="E369" s="7"/>
      <c r="F369" s="7"/>
      <c r="G369" s="8"/>
      <c r="H369" s="8"/>
      <c r="I369" s="9"/>
      <c r="J369" s="9"/>
    </row>
    <row r="370" customFormat="false" ht="15" hidden="false" customHeight="false" outlineLevel="0" collapsed="false">
      <c r="A370" s="10" t="s">
        <v>8</v>
      </c>
      <c r="B370" s="8" t="n">
        <v>52</v>
      </c>
      <c r="C370" s="7" t="s">
        <v>12</v>
      </c>
      <c r="D370" s="8" t="n">
        <v>1989</v>
      </c>
      <c r="E370" s="7"/>
      <c r="F370" s="7"/>
      <c r="G370" s="8"/>
      <c r="H370" s="8"/>
      <c r="I370" s="9" t="n">
        <v>0.0174189814814815</v>
      </c>
      <c r="J370" s="12" t="n">
        <f aca="false">VALUE(SUBSTITUTE($A$370,"miles",""))/(I370*24)</f>
        <v>23.9202657807309</v>
      </c>
    </row>
    <row r="371" s="1" customFormat="true" ht="15" hidden="false" customHeight="false" outlineLevel="0" collapsed="false">
      <c r="A371" s="10"/>
      <c r="B371" s="13" t="n">
        <v>53</v>
      </c>
      <c r="C371" s="10" t="s">
        <v>12</v>
      </c>
      <c r="D371" s="13" t="s">
        <v>247</v>
      </c>
      <c r="E371" s="10" t="s">
        <v>248</v>
      </c>
      <c r="F371" s="10" t="s">
        <v>128</v>
      </c>
      <c r="G371" s="13"/>
      <c r="H371" s="13"/>
      <c r="I371" s="11" t="n">
        <v>0.0172916666666667</v>
      </c>
      <c r="J371" s="14" t="n">
        <f aca="false">VALUE(SUBSTITUTE($A$370,"miles",""))/(I371*24)</f>
        <v>24.0963855421686</v>
      </c>
    </row>
    <row r="372" customFormat="false" ht="15" hidden="false" customHeight="false" outlineLevel="0" collapsed="false">
      <c r="A372" s="10"/>
      <c r="B372" s="8" t="n">
        <v>55</v>
      </c>
      <c r="C372" s="7" t="s">
        <v>12</v>
      </c>
      <c r="D372" s="8" t="n">
        <v>1992</v>
      </c>
      <c r="E372" s="7"/>
      <c r="F372" s="7"/>
      <c r="G372" s="8"/>
      <c r="H372" s="8"/>
      <c r="I372" s="9" t="n">
        <v>0.0186689814814815</v>
      </c>
      <c r="J372" s="12" t="n">
        <f aca="false">VALUE(SUBSTITUTE($A$370,"miles",""))/(I372*24)</f>
        <v>22.3186608803472</v>
      </c>
    </row>
    <row r="373" s="1" customFormat="true" ht="15" hidden="false" customHeight="false" outlineLevel="0" collapsed="false">
      <c r="A373" s="10"/>
      <c r="B373" s="13" t="n">
        <v>60</v>
      </c>
      <c r="C373" s="10" t="s">
        <v>214</v>
      </c>
      <c r="D373" s="13" t="s">
        <v>249</v>
      </c>
      <c r="E373" s="10" t="s">
        <v>250</v>
      </c>
      <c r="F373" s="10"/>
      <c r="G373" s="13"/>
      <c r="H373" s="13"/>
      <c r="I373" s="11" t="n">
        <v>0.0179861111111111</v>
      </c>
      <c r="J373" s="14" t="n">
        <f aca="false">VALUE(SUBSTITUTE($A$370,"miles",""))/(I373*24)</f>
        <v>23.1660231660232</v>
      </c>
    </row>
    <row r="374" customFormat="false" ht="15" hidden="false" customHeight="false" outlineLevel="0" collapsed="false">
      <c r="A374" s="10"/>
      <c r="B374" s="8" t="n">
        <v>64</v>
      </c>
      <c r="C374" s="7" t="s">
        <v>29</v>
      </c>
      <c r="D374" s="8" t="n">
        <v>1985</v>
      </c>
      <c r="E374" s="7"/>
      <c r="F374" s="7"/>
      <c r="G374" s="8"/>
      <c r="H374" s="8" t="s">
        <v>19</v>
      </c>
      <c r="I374" s="9" t="n">
        <v>0.0202546296296296</v>
      </c>
      <c r="J374" s="12" t="n">
        <f aca="false">VALUE(SUBSTITUTE($A$370,"miles",""))/(I374*24)</f>
        <v>20.5714285714286</v>
      </c>
    </row>
    <row r="375" customFormat="false" ht="15" hidden="false" customHeight="false" outlineLevel="0" collapsed="false">
      <c r="A375" s="10"/>
      <c r="B375" s="8" t="n">
        <v>65</v>
      </c>
      <c r="C375" s="7" t="s">
        <v>29</v>
      </c>
      <c r="D375" s="8" t="n">
        <v>1986</v>
      </c>
      <c r="E375" s="7"/>
      <c r="F375" s="7"/>
      <c r="G375" s="8"/>
      <c r="H375" s="8" t="s">
        <v>19</v>
      </c>
      <c r="I375" s="9" t="n">
        <v>0.0205671296296296</v>
      </c>
      <c r="J375" s="12" t="n">
        <f aca="false">VALUE(SUBSTITUTE($A$370,"miles",""))/(I375*24)</f>
        <v>20.2588632526731</v>
      </c>
    </row>
    <row r="376" customFormat="false" ht="15" hidden="false" customHeight="false" outlineLevel="0" collapsed="false">
      <c r="A376" s="10"/>
      <c r="B376" s="8" t="n">
        <v>69</v>
      </c>
      <c r="C376" s="7" t="s">
        <v>29</v>
      </c>
      <c r="D376" s="8" t="n">
        <v>1990</v>
      </c>
      <c r="E376" s="7"/>
      <c r="F376" s="7"/>
      <c r="G376" s="8"/>
      <c r="H376" s="8" t="s">
        <v>19</v>
      </c>
      <c r="I376" s="9" t="n">
        <v>0.0215740740740741</v>
      </c>
      <c r="J376" s="12" t="n">
        <f aca="false">VALUE(SUBSTITUTE($A$370,"miles",""))/(I376*24)</f>
        <v>19.31330472103</v>
      </c>
    </row>
    <row r="377" customFormat="false" ht="15" hidden="false" customHeight="false" outlineLevel="0" collapsed="false">
      <c r="A377" s="10"/>
      <c r="B377" s="8" t="n">
        <v>71</v>
      </c>
      <c r="C377" s="7" t="s">
        <v>29</v>
      </c>
      <c r="D377" s="8" t="n">
        <v>1992</v>
      </c>
      <c r="E377" s="7"/>
      <c r="F377" s="7"/>
      <c r="G377" s="8"/>
      <c r="H377" s="8" t="s">
        <v>19</v>
      </c>
      <c r="I377" s="9" t="n">
        <v>0.0215162037037037</v>
      </c>
      <c r="J377" s="12" t="n">
        <f aca="false">VALUE(SUBSTITUTE($A$370,"miles",""))/(I377*24)</f>
        <v>19.3652501344809</v>
      </c>
    </row>
    <row r="378" customFormat="false" ht="15" hidden="false" customHeight="false" outlineLevel="0" collapsed="false">
      <c r="A378" s="10"/>
      <c r="B378" s="8" t="n">
        <v>72</v>
      </c>
      <c r="C378" s="7" t="s">
        <v>29</v>
      </c>
      <c r="D378" s="8" t="n">
        <v>1993</v>
      </c>
      <c r="E378" s="7"/>
      <c r="F378" s="7"/>
      <c r="G378" s="8"/>
      <c r="H378" s="8"/>
      <c r="I378" s="9" t="n">
        <v>0.0217361111111111</v>
      </c>
      <c r="J378" s="12" t="n">
        <f aca="false">VALUE(SUBSTITUTE($A$370,"miles",""))/(I378*24)</f>
        <v>19.1693290734824</v>
      </c>
    </row>
    <row r="379" s="1" customFormat="true" ht="15" hidden="false" customHeight="false" outlineLevel="0" collapsed="false">
      <c r="A379" s="10"/>
      <c r="B379" s="13" t="n">
        <v>76</v>
      </c>
      <c r="C379" s="10" t="s">
        <v>214</v>
      </c>
      <c r="D379" s="13" t="s">
        <v>251</v>
      </c>
      <c r="E379" s="10"/>
      <c r="F379" s="10"/>
      <c r="G379" s="8"/>
      <c r="H379" s="8"/>
      <c r="I379" s="11" t="n">
        <v>0.0197106481481482</v>
      </c>
      <c r="J379" s="14" t="n">
        <f aca="false">VALUE(SUBSTITUTE($A$370,"miles",""))/(I379*24)</f>
        <v>21.1391661773341</v>
      </c>
    </row>
    <row r="380" s="1" customFormat="true" ht="15" hidden="false" customHeight="false" outlineLevel="0" collapsed="false">
      <c r="A380" s="10"/>
      <c r="B380" s="13" t="n">
        <v>80</v>
      </c>
      <c r="C380" s="10" t="s">
        <v>29</v>
      </c>
      <c r="D380" s="13" t="s">
        <v>252</v>
      </c>
      <c r="E380" s="10" t="s">
        <v>11</v>
      </c>
      <c r="F380" s="10"/>
      <c r="G380" s="8"/>
      <c r="H380" s="8"/>
      <c r="I380" s="11" t="n">
        <v>0.0244328703703704</v>
      </c>
      <c r="J380" s="14" t="n">
        <f aca="false">VALUE(SUBSTITUTE($A$370,"miles",""))/(I380*24)</f>
        <v>17.0535291331122</v>
      </c>
    </row>
    <row r="381" s="1" customFormat="true" ht="15" hidden="false" customHeight="false" outlineLevel="0" collapsed="false">
      <c r="A381" s="10"/>
      <c r="B381" s="13" t="n">
        <v>81</v>
      </c>
      <c r="C381" s="10" t="s">
        <v>29</v>
      </c>
      <c r="D381" s="13" t="s">
        <v>253</v>
      </c>
      <c r="E381" s="10" t="s">
        <v>11</v>
      </c>
      <c r="F381" s="10"/>
      <c r="G381" s="8"/>
      <c r="H381" s="8"/>
      <c r="I381" s="11" t="n">
        <v>0.0251851851851852</v>
      </c>
      <c r="J381" s="14" t="n">
        <f aca="false">VALUE(SUBSTITUTE($A$370,"miles",""))/(I381*24)</f>
        <v>16.5441176470588</v>
      </c>
    </row>
    <row r="382" s="1" customFormat="true" ht="15" hidden="false" customHeight="false" outlineLevel="0" collapsed="false">
      <c r="A382" s="10"/>
      <c r="B382" s="13" t="n">
        <v>85</v>
      </c>
      <c r="C382" s="10" t="s">
        <v>29</v>
      </c>
      <c r="D382" s="13" t="n">
        <v>2006</v>
      </c>
      <c r="E382" s="10"/>
      <c r="F382" s="10"/>
      <c r="G382" s="8"/>
      <c r="H382" s="8"/>
      <c r="I382" s="11" t="n">
        <v>0.0277777777777778</v>
      </c>
      <c r="J382" s="14" t="n">
        <f aca="false">VALUE(SUBSTITUTE($A$370,"miles",""))/(I382*24)</f>
        <v>15</v>
      </c>
    </row>
    <row r="383" customFormat="false" ht="9" hidden="false" customHeight="true" outlineLevel="0" collapsed="false">
      <c r="A383" s="10"/>
      <c r="B383" s="8"/>
      <c r="C383" s="7"/>
      <c r="D383" s="8"/>
      <c r="E383" s="7"/>
      <c r="F383" s="7"/>
      <c r="G383" s="8"/>
      <c r="H383" s="8"/>
      <c r="I383" s="9"/>
      <c r="J383" s="9"/>
    </row>
    <row r="384" customFormat="false" ht="15" hidden="false" customHeight="false" outlineLevel="0" collapsed="false">
      <c r="A384" s="10" t="s">
        <v>80</v>
      </c>
      <c r="B384" s="8" t="n">
        <v>53</v>
      </c>
      <c r="C384" s="7" t="s">
        <v>12</v>
      </c>
      <c r="D384" s="8" t="n">
        <v>1990</v>
      </c>
      <c r="E384" s="7"/>
      <c r="F384" s="7"/>
      <c r="G384" s="8"/>
      <c r="H384" s="8"/>
      <c r="I384" s="9" t="n">
        <v>0.0460532407407407</v>
      </c>
      <c r="J384" s="12" t="n">
        <f aca="false">VALUE(SUBSTITUTE($A$384,"miles",""))/(I384*24)</f>
        <v>22.6187484292536</v>
      </c>
    </row>
    <row r="385" customFormat="false" ht="15" hidden="false" customHeight="false" outlineLevel="0" collapsed="false">
      <c r="A385" s="10"/>
      <c r="B385" s="8" t="n">
        <v>54</v>
      </c>
      <c r="C385" s="7" t="s">
        <v>12</v>
      </c>
      <c r="D385" s="8" t="n">
        <v>1991</v>
      </c>
      <c r="E385" s="7"/>
      <c r="F385" s="7"/>
      <c r="G385" s="8"/>
      <c r="H385" s="8"/>
      <c r="I385" s="9" t="n">
        <v>0.0463310185185185</v>
      </c>
      <c r="J385" s="12" t="n">
        <f aca="false">VALUE(SUBSTITUTE($A$384,"miles",""))/(I385*24)</f>
        <v>22.4831376467649</v>
      </c>
    </row>
    <row r="386" customFormat="false" ht="15" hidden="false" customHeight="false" outlineLevel="0" collapsed="false">
      <c r="A386" s="10"/>
      <c r="B386" s="8" t="n">
        <v>55</v>
      </c>
      <c r="C386" s="7" t="s">
        <v>12</v>
      </c>
      <c r="D386" s="8" t="n">
        <v>1992</v>
      </c>
      <c r="E386" s="7"/>
      <c r="F386" s="7"/>
      <c r="G386" s="8"/>
      <c r="H386" s="8"/>
      <c r="I386" s="9" t="n">
        <v>0.0474537037037037</v>
      </c>
      <c r="J386" s="12" t="n">
        <f aca="false">VALUE(SUBSTITUTE($A$384,"miles",""))/(I386*24)</f>
        <v>21.9512195121951</v>
      </c>
    </row>
    <row r="387" s="1" customFormat="true" ht="15" hidden="false" customHeight="false" outlineLevel="0" collapsed="false">
      <c r="A387" s="10"/>
      <c r="B387" s="13" t="n">
        <v>61</v>
      </c>
      <c r="C387" s="10" t="s">
        <v>214</v>
      </c>
      <c r="D387" s="13" t="s">
        <v>254</v>
      </c>
      <c r="E387" s="10" t="s">
        <v>255</v>
      </c>
      <c r="F387" s="10" t="s">
        <v>128</v>
      </c>
      <c r="G387" s="13"/>
      <c r="H387" s="13"/>
      <c r="I387" s="11" t="n">
        <v>0.0454282407407407</v>
      </c>
      <c r="J387" s="14" t="n">
        <f aca="false">VALUE(SUBSTITUTE($A$384,"miles",""))/(I387*24)</f>
        <v>22.9299363057325</v>
      </c>
    </row>
    <row r="388" customFormat="false" ht="15" hidden="false" customHeight="false" outlineLevel="0" collapsed="false">
      <c r="A388" s="10"/>
      <c r="B388" s="8" t="n">
        <v>62</v>
      </c>
      <c r="C388" s="7" t="s">
        <v>29</v>
      </c>
      <c r="D388" s="8" t="n">
        <v>1983</v>
      </c>
      <c r="E388" s="7"/>
      <c r="F388" s="7"/>
      <c r="G388" s="8"/>
      <c r="H388" s="8" t="s">
        <v>19</v>
      </c>
      <c r="I388" s="9" t="n">
        <v>0.0519791666666667</v>
      </c>
      <c r="J388" s="12" t="n">
        <f aca="false">VALUE(SUBSTITUTE($A$384,"miles",""))/(I388*24)</f>
        <v>20.0400801603206</v>
      </c>
    </row>
    <row r="389" customFormat="false" ht="15" hidden="false" customHeight="false" outlineLevel="0" collapsed="false">
      <c r="A389" s="10"/>
      <c r="B389" s="8" t="n">
        <v>63</v>
      </c>
      <c r="C389" s="7" t="s">
        <v>29</v>
      </c>
      <c r="D389" s="8" t="n">
        <v>1984</v>
      </c>
      <c r="E389" s="7"/>
      <c r="F389" s="7"/>
      <c r="G389" s="8"/>
      <c r="H389" s="8" t="s">
        <v>19</v>
      </c>
      <c r="I389" s="9" t="n">
        <v>0.0507175925925926</v>
      </c>
      <c r="J389" s="12" t="n">
        <f aca="false">VALUE(SUBSTITUTE($A$384,"miles",""))/(I389*24)</f>
        <v>20.5385668644455</v>
      </c>
    </row>
    <row r="390" customFormat="false" ht="15" hidden="false" customHeight="false" outlineLevel="0" collapsed="false">
      <c r="A390" s="10"/>
      <c r="B390" s="8" t="n">
        <v>64</v>
      </c>
      <c r="C390" s="7" t="s">
        <v>29</v>
      </c>
      <c r="D390" s="8" t="n">
        <v>1985</v>
      </c>
      <c r="E390" s="7"/>
      <c r="F390" s="7"/>
      <c r="G390" s="8"/>
      <c r="H390" s="8" t="s">
        <v>19</v>
      </c>
      <c r="I390" s="9" t="n">
        <v>0.0516898148148148</v>
      </c>
      <c r="J390" s="12" t="n">
        <f aca="false">VALUE(SUBSTITUTE($A$384,"miles",""))/(I390*24)</f>
        <v>20.1522615315719</v>
      </c>
    </row>
    <row r="391" customFormat="false" ht="15" hidden="false" customHeight="false" outlineLevel="0" collapsed="false">
      <c r="A391" s="10"/>
      <c r="B391" s="8" t="n">
        <v>65</v>
      </c>
      <c r="C391" s="7" t="s">
        <v>29</v>
      </c>
      <c r="D391" s="8" t="n">
        <v>1986</v>
      </c>
      <c r="E391" s="7"/>
      <c r="F391" s="7"/>
      <c r="G391" s="8"/>
      <c r="H391" s="8" t="s">
        <v>19</v>
      </c>
      <c r="I391" s="9" t="n">
        <v>0.0510648148148148</v>
      </c>
      <c r="J391" s="12" t="n">
        <f aca="false">VALUE(SUBSTITUTE($A$384,"miles",""))/(I391*24)</f>
        <v>20.3989120580236</v>
      </c>
    </row>
    <row r="392" customFormat="false" ht="15" hidden="false" customHeight="false" outlineLevel="0" collapsed="false">
      <c r="A392" s="10"/>
      <c r="B392" s="8" t="n">
        <v>66</v>
      </c>
      <c r="C392" s="7" t="s">
        <v>29</v>
      </c>
      <c r="D392" s="8" t="n">
        <v>1987</v>
      </c>
      <c r="E392" s="7"/>
      <c r="F392" s="7"/>
      <c r="G392" s="8"/>
      <c r="H392" s="8" t="s">
        <v>19</v>
      </c>
      <c r="I392" s="9" t="n">
        <v>0.0511689814814815</v>
      </c>
      <c r="J392" s="12" t="n">
        <f aca="false">VALUE(SUBSTITUTE($A$384,"miles",""))/(I392*24)</f>
        <v>20.3573852069667</v>
      </c>
    </row>
    <row r="393" customFormat="false" ht="15" hidden="false" customHeight="false" outlineLevel="0" collapsed="false">
      <c r="A393" s="10"/>
      <c r="B393" s="8" t="n">
        <v>68</v>
      </c>
      <c r="C393" s="7" t="s">
        <v>29</v>
      </c>
      <c r="D393" s="8" t="n">
        <v>1989</v>
      </c>
      <c r="E393" s="7"/>
      <c r="F393" s="7"/>
      <c r="G393" s="8"/>
      <c r="H393" s="8" t="s">
        <v>19</v>
      </c>
      <c r="I393" s="9" t="n">
        <v>0.0497569444444444</v>
      </c>
      <c r="J393" s="12" t="n">
        <f aca="false">VALUE(SUBSTITUTE($A$384,"miles",""))/(I393*24)</f>
        <v>20.9351011863224</v>
      </c>
    </row>
    <row r="394" customFormat="false" ht="15" hidden="false" customHeight="false" outlineLevel="0" collapsed="false">
      <c r="A394" s="10"/>
      <c r="B394" s="8" t="n">
        <v>69</v>
      </c>
      <c r="C394" s="7" t="s">
        <v>29</v>
      </c>
      <c r="D394" s="8" t="n">
        <v>1990</v>
      </c>
      <c r="E394" s="7"/>
      <c r="F394" s="7"/>
      <c r="G394" s="8"/>
      <c r="H394" s="8" t="s">
        <v>19</v>
      </c>
      <c r="I394" s="9" t="n">
        <v>0.0544907407407407</v>
      </c>
      <c r="J394" s="12" t="n">
        <f aca="false">VALUE(SUBSTITUTE($A$384,"miles",""))/(I394*24)</f>
        <v>19.1163976210705</v>
      </c>
    </row>
    <row r="395" customFormat="false" ht="15" hidden="false" customHeight="false" outlineLevel="0" collapsed="false">
      <c r="A395" s="10"/>
      <c r="B395" s="8" t="n">
        <v>70</v>
      </c>
      <c r="C395" s="7" t="s">
        <v>29</v>
      </c>
      <c r="D395" s="8" t="n">
        <v>1991</v>
      </c>
      <c r="E395" s="7"/>
      <c r="F395" s="7"/>
      <c r="G395" s="8"/>
      <c r="H395" s="8" t="s">
        <v>19</v>
      </c>
      <c r="I395" s="9" t="n">
        <v>0.0541666666666667</v>
      </c>
      <c r="J395" s="12" t="n">
        <f aca="false">VALUE(SUBSTITUTE($A$384,"miles",""))/(I395*24)</f>
        <v>19.2307692307692</v>
      </c>
    </row>
    <row r="396" customFormat="false" ht="15" hidden="false" customHeight="false" outlineLevel="0" collapsed="false">
      <c r="A396" s="10"/>
      <c r="B396" s="8" t="n">
        <v>71</v>
      </c>
      <c r="C396" s="7" t="s">
        <v>29</v>
      </c>
      <c r="D396" s="8" t="n">
        <v>1992</v>
      </c>
      <c r="E396" s="7"/>
      <c r="F396" s="7"/>
      <c r="G396" s="8"/>
      <c r="H396" s="8"/>
      <c r="I396" s="9" t="n">
        <v>0.0577314814814815</v>
      </c>
      <c r="J396" s="12" t="n">
        <f aca="false">VALUE(SUBSTITUTE($A$384,"miles",""))/(I396*24)</f>
        <v>18.0433039294306</v>
      </c>
    </row>
    <row r="397" customFormat="false" ht="15" hidden="false" customHeight="false" outlineLevel="0" collapsed="false">
      <c r="A397" s="10"/>
      <c r="B397" s="8" t="n">
        <v>72</v>
      </c>
      <c r="C397" s="7" t="s">
        <v>29</v>
      </c>
      <c r="D397" s="8" t="n">
        <v>1993</v>
      </c>
      <c r="E397" s="7"/>
      <c r="F397" s="7"/>
      <c r="G397" s="8"/>
      <c r="H397" s="8"/>
      <c r="I397" s="9" t="n">
        <v>0.0553240740740741</v>
      </c>
      <c r="J397" s="12" t="n">
        <f aca="false">VALUE(SUBSTITUTE($A$384,"miles",""))/(I397*24)</f>
        <v>18.8284518828452</v>
      </c>
    </row>
    <row r="398" s="1" customFormat="true" ht="15" hidden="false" customHeight="false" outlineLevel="0" collapsed="false">
      <c r="A398" s="10"/>
      <c r="B398" s="13" t="n">
        <v>76</v>
      </c>
      <c r="C398" s="10" t="s">
        <v>214</v>
      </c>
      <c r="D398" s="19" t="n">
        <v>0.462627314814815</v>
      </c>
      <c r="E398" s="10" t="s">
        <v>84</v>
      </c>
      <c r="F398" s="10"/>
      <c r="G398" s="8"/>
      <c r="H398" s="8"/>
      <c r="I398" s="11" t="n">
        <v>0.0463657407407407</v>
      </c>
      <c r="J398" s="14" t="n">
        <f aca="false">VALUE(SUBSTITUTE($A$384,"miles",""))/(I398*24)</f>
        <v>22.4663005491763</v>
      </c>
    </row>
    <row r="399" customFormat="false" ht="15" hidden="false" customHeight="false" outlineLevel="0" collapsed="false">
      <c r="A399" s="10"/>
      <c r="B399" s="8" t="n">
        <v>79</v>
      </c>
      <c r="C399" s="7" t="s">
        <v>29</v>
      </c>
      <c r="D399" s="8" t="n">
        <v>2000</v>
      </c>
      <c r="E399" s="7"/>
      <c r="F399" s="7"/>
      <c r="G399" s="8"/>
      <c r="H399" s="8" t="s">
        <v>19</v>
      </c>
      <c r="I399" s="9" t="n">
        <v>0.0656712962962963</v>
      </c>
      <c r="J399" s="12" t="n">
        <f aca="false">VALUE(SUBSTITUTE($A$384,"miles",""))/(I399*24)</f>
        <v>15.8618258724004</v>
      </c>
    </row>
    <row r="400" s="1" customFormat="true" ht="15" hidden="false" customHeight="false" outlineLevel="0" collapsed="false">
      <c r="A400" s="10"/>
      <c r="B400" s="8" t="n">
        <v>80</v>
      </c>
      <c r="C400" s="7" t="s">
        <v>29</v>
      </c>
      <c r="D400" s="8" t="n">
        <v>2001</v>
      </c>
      <c r="E400" s="7"/>
      <c r="F400" s="7"/>
      <c r="G400" s="8"/>
      <c r="H400" s="8" t="s">
        <v>19</v>
      </c>
      <c r="I400" s="9" t="n">
        <v>0.0649305555555556</v>
      </c>
      <c r="J400" s="12" t="n">
        <f aca="false">VALUE(SUBSTITUTE($A$384,"miles",""))/(I400*24)</f>
        <v>16.0427807486631</v>
      </c>
    </row>
    <row r="401" s="1" customFormat="true" ht="15" hidden="false" customHeight="false" outlineLevel="0" collapsed="false">
      <c r="A401" s="10"/>
      <c r="B401" s="13" t="n">
        <v>81</v>
      </c>
      <c r="C401" s="10" t="s">
        <v>29</v>
      </c>
      <c r="D401" s="19" t="n">
        <v>0.0479398148148148</v>
      </c>
      <c r="E401" s="10" t="s">
        <v>82</v>
      </c>
      <c r="F401" s="10"/>
      <c r="G401" s="8"/>
      <c r="H401" s="8" t="s">
        <v>19</v>
      </c>
      <c r="I401" s="11" t="n">
        <v>0.0646527777777778</v>
      </c>
      <c r="J401" s="14" t="n">
        <f aca="false">VALUE(SUBSTITUTE($A$384,"miles",""))/(I401*24)</f>
        <v>16.1117078410311</v>
      </c>
    </row>
    <row r="402" s="1" customFormat="true" ht="15" hidden="false" customHeight="false" outlineLevel="0" collapsed="false">
      <c r="A402" s="10"/>
      <c r="B402" s="13" t="n">
        <v>82</v>
      </c>
      <c r="C402" s="10" t="s">
        <v>29</v>
      </c>
      <c r="D402" s="13" t="s">
        <v>256</v>
      </c>
      <c r="E402" s="10" t="s">
        <v>110</v>
      </c>
      <c r="F402" s="10"/>
      <c r="G402" s="8"/>
      <c r="H402" s="8" t="s">
        <v>19</v>
      </c>
      <c r="I402" s="11" t="n">
        <v>0.0683449074074074</v>
      </c>
      <c r="J402" s="14" t="n">
        <f aca="false">VALUE(SUBSTITUTE($A$384,"miles",""))/(I402*24)</f>
        <v>15.2413209144793</v>
      </c>
    </row>
    <row r="403" s="1" customFormat="true" ht="15" hidden="false" customHeight="false" outlineLevel="0" collapsed="false">
      <c r="A403" s="10"/>
      <c r="B403" s="13" t="n">
        <v>83</v>
      </c>
      <c r="C403" s="10" t="s">
        <v>29</v>
      </c>
      <c r="D403" s="13" t="s">
        <v>257</v>
      </c>
      <c r="E403" s="10" t="s">
        <v>108</v>
      </c>
      <c r="F403" s="10"/>
      <c r="G403" s="8"/>
      <c r="H403" s="8" t="s">
        <v>19</v>
      </c>
      <c r="I403" s="11" t="n">
        <v>0.0686689814814815</v>
      </c>
      <c r="J403" s="14" t="n">
        <f aca="false">VALUE(SUBSTITUTE($A$384,"miles",""))/(I403*24)</f>
        <v>15.1693915388505</v>
      </c>
    </row>
    <row r="404" customFormat="false" ht="15" hidden="false" customHeight="false" outlineLevel="0" collapsed="false">
      <c r="A404" s="7"/>
      <c r="B404" s="8" t="n">
        <v>84</v>
      </c>
      <c r="C404" s="7" t="s">
        <v>29</v>
      </c>
      <c r="D404" s="8" t="s">
        <v>258</v>
      </c>
      <c r="E404" s="7"/>
      <c r="F404" s="7"/>
      <c r="G404" s="8"/>
      <c r="H404" s="8" t="s">
        <v>19</v>
      </c>
      <c r="I404" s="9" t="n">
        <v>0.0727314814814815</v>
      </c>
      <c r="J404" s="12" t="n">
        <f aca="false">VALUE(SUBSTITUTE($A$384,"miles",""))/(I404*24)</f>
        <v>14.3220878421388</v>
      </c>
    </row>
    <row r="405" s="1" customFormat="true" ht="15" hidden="false" customHeight="false" outlineLevel="0" collapsed="false">
      <c r="A405" s="10"/>
      <c r="B405" s="13" t="n">
        <v>85</v>
      </c>
      <c r="C405" s="10" t="s">
        <v>29</v>
      </c>
      <c r="D405" s="13" t="s">
        <v>259</v>
      </c>
      <c r="E405" s="10"/>
      <c r="F405" s="10"/>
      <c r="G405" s="8"/>
      <c r="H405" s="8" t="s">
        <v>19</v>
      </c>
      <c r="I405" s="11" t="n">
        <v>0.0695949074074074</v>
      </c>
      <c r="J405" s="14" t="n">
        <f aca="false">VALUE(SUBSTITUTE($A$384,"miles",""))/(I405*24)</f>
        <v>14.9675702644271</v>
      </c>
    </row>
    <row r="406" customFormat="false" ht="9" hidden="false" customHeight="true" outlineLevel="0" collapsed="false">
      <c r="A406" s="10"/>
      <c r="B406" s="8"/>
      <c r="C406" s="7"/>
      <c r="D406" s="8"/>
      <c r="E406" s="7"/>
      <c r="F406" s="7"/>
      <c r="G406" s="8"/>
      <c r="H406" s="8"/>
      <c r="I406" s="9"/>
      <c r="J406" s="9"/>
    </row>
    <row r="407" customFormat="false" ht="15" hidden="false" customHeight="false" outlineLevel="0" collapsed="false">
      <c r="A407" s="10" t="s">
        <v>121</v>
      </c>
      <c r="B407" s="8" t="n">
        <v>64</v>
      </c>
      <c r="C407" s="7" t="s">
        <v>29</v>
      </c>
      <c r="D407" s="8" t="n">
        <v>1985</v>
      </c>
      <c r="E407" s="7"/>
      <c r="F407" s="7"/>
      <c r="G407" s="8"/>
      <c r="H407" s="8" t="s">
        <v>19</v>
      </c>
      <c r="I407" s="9" t="n">
        <v>0.0642708333333333</v>
      </c>
      <c r="J407" s="12" t="n">
        <f aca="false">VALUE(SUBSTITUTE($A$407,"miles",""))/(I407*24)</f>
        <v>19.4489465153971</v>
      </c>
    </row>
    <row r="408" customFormat="false" ht="15" hidden="false" customHeight="false" outlineLevel="0" collapsed="false">
      <c r="A408" s="10"/>
      <c r="B408" s="8" t="n">
        <v>65</v>
      </c>
      <c r="C408" s="7" t="s">
        <v>29</v>
      </c>
      <c r="D408" s="8" t="n">
        <v>1986</v>
      </c>
      <c r="E408" s="7"/>
      <c r="F408" s="7"/>
      <c r="G408" s="8"/>
      <c r="H408" s="8" t="s">
        <v>19</v>
      </c>
      <c r="I408" s="9" t="n">
        <v>0.0652662037037037</v>
      </c>
      <c r="J408" s="12" t="n">
        <f aca="false">VALUE(SUBSTITUTE($A$407,"miles",""))/(I408*24)</f>
        <v>19.1523319737542</v>
      </c>
    </row>
    <row r="409" customFormat="false" ht="15" hidden="false" customHeight="false" outlineLevel="0" collapsed="false">
      <c r="A409" s="10"/>
      <c r="B409" s="13" t="n">
        <v>68</v>
      </c>
      <c r="C409" s="10" t="s">
        <v>29</v>
      </c>
      <c r="D409" s="13" t="s">
        <v>260</v>
      </c>
      <c r="E409" s="10" t="s">
        <v>137</v>
      </c>
      <c r="F409" s="10"/>
      <c r="G409" s="8"/>
      <c r="H409" s="8" t="s">
        <v>19</v>
      </c>
      <c r="I409" s="11" t="n">
        <v>0.0592476851851852</v>
      </c>
      <c r="J409" s="14" t="n">
        <f aca="false">VALUE(SUBSTITUTE($A$407,"miles",""))/(I409*24)</f>
        <v>21.0978706778668</v>
      </c>
    </row>
    <row r="410" customFormat="false" ht="15" hidden="false" customHeight="false" outlineLevel="0" collapsed="false">
      <c r="A410" s="10"/>
      <c r="B410" s="13" t="n">
        <v>70</v>
      </c>
      <c r="C410" s="10" t="s">
        <v>29</v>
      </c>
      <c r="D410" s="13" t="s">
        <v>261</v>
      </c>
      <c r="E410" s="10" t="s">
        <v>262</v>
      </c>
      <c r="F410" s="10"/>
      <c r="G410" s="8"/>
      <c r="H410" s="8" t="s">
        <v>19</v>
      </c>
      <c r="I410" s="11" t="n">
        <v>0.0679976851851852</v>
      </c>
      <c r="J410" s="14" t="n">
        <f aca="false">VALUE(SUBSTITUTE($A$407,"miles",""))/(I410*24)</f>
        <v>18.3829787234043</v>
      </c>
    </row>
    <row r="411" customFormat="false" ht="15" hidden="false" customHeight="false" outlineLevel="0" collapsed="false">
      <c r="A411" s="10"/>
      <c r="B411" s="13" t="n">
        <v>71</v>
      </c>
      <c r="C411" s="10" t="s">
        <v>29</v>
      </c>
      <c r="D411" s="13" t="s">
        <v>263</v>
      </c>
      <c r="E411" s="10" t="s">
        <v>262</v>
      </c>
      <c r="F411" s="10"/>
      <c r="G411" s="8"/>
      <c r="H411" s="8" t="s">
        <v>19</v>
      </c>
      <c r="I411" s="11" t="n">
        <v>0.071087962962963</v>
      </c>
      <c r="J411" s="14" t="n">
        <f aca="false">VALUE(SUBSTITUTE($A$407,"miles",""))/(I411*24)</f>
        <v>17.5838489091501</v>
      </c>
    </row>
    <row r="412" customFormat="false" ht="15" hidden="false" customHeight="false" outlineLevel="0" collapsed="false">
      <c r="A412" s="10"/>
      <c r="B412" s="13" t="n">
        <v>72</v>
      </c>
      <c r="C412" s="10" t="s">
        <v>29</v>
      </c>
      <c r="D412" s="13" t="s">
        <v>264</v>
      </c>
      <c r="E412" s="10" t="s">
        <v>262</v>
      </c>
      <c r="F412" s="10"/>
      <c r="G412" s="8"/>
      <c r="H412" s="8"/>
      <c r="I412" s="11" t="n">
        <v>0.0747222222222222</v>
      </c>
      <c r="J412" s="14" t="n">
        <f aca="false">VALUE(SUBSTITUTE($A$407,"miles",""))/(I412*24)</f>
        <v>16.728624535316</v>
      </c>
    </row>
    <row r="413" customFormat="false" ht="15" hidden="false" customHeight="false" outlineLevel="0" collapsed="false">
      <c r="A413" s="10"/>
      <c r="B413" s="13" t="n">
        <v>80</v>
      </c>
      <c r="C413" s="10" t="s">
        <v>29</v>
      </c>
      <c r="D413" s="13" t="s">
        <v>265</v>
      </c>
      <c r="E413" s="10" t="s">
        <v>266</v>
      </c>
      <c r="F413" s="10"/>
      <c r="G413" s="13" t="s">
        <v>14</v>
      </c>
      <c r="H413" s="13" t="s">
        <v>39</v>
      </c>
      <c r="I413" s="11" t="n">
        <v>0.0817824074074074</v>
      </c>
      <c r="J413" s="14" t="n">
        <f aca="false">VALUE(SUBSTITUTE($A$407,"miles",""))/(I413*24)</f>
        <v>15.2844607981885</v>
      </c>
    </row>
    <row r="414" customFormat="false" ht="15" hidden="false" customHeight="false" outlineLevel="0" collapsed="false">
      <c r="A414" s="10"/>
      <c r="B414" s="13" t="n">
        <v>82</v>
      </c>
      <c r="C414" s="10" t="s">
        <v>29</v>
      </c>
      <c r="D414" s="13" t="s">
        <v>267</v>
      </c>
      <c r="E414" s="10" t="s">
        <v>266</v>
      </c>
      <c r="F414" s="10"/>
      <c r="G414" s="13" t="s">
        <v>14</v>
      </c>
      <c r="H414" s="13" t="s">
        <v>39</v>
      </c>
      <c r="I414" s="11" t="n">
        <v>0.0848958333333333</v>
      </c>
      <c r="J414" s="14" t="n">
        <f aca="false">VALUE(SUBSTITUTE($A$407,"miles",""))/(I414*24)</f>
        <v>14.7239263803681</v>
      </c>
    </row>
    <row r="415" customFormat="false" ht="15" hidden="false" customHeight="false" outlineLevel="0" collapsed="false">
      <c r="A415" s="10"/>
      <c r="B415" s="13" t="n">
        <v>83</v>
      </c>
      <c r="C415" s="10" t="s">
        <v>29</v>
      </c>
      <c r="D415" s="13" t="s">
        <v>268</v>
      </c>
      <c r="E415" s="10" t="s">
        <v>266</v>
      </c>
      <c r="F415" s="10"/>
      <c r="G415" s="13" t="s">
        <v>14</v>
      </c>
      <c r="H415" s="13" t="s">
        <v>39</v>
      </c>
      <c r="I415" s="11" t="n">
        <v>0.0917592592592593</v>
      </c>
      <c r="J415" s="14" t="n">
        <f aca="false">VALUE(SUBSTITUTE($A$407,"miles",""))/(I415*24)</f>
        <v>13.6226034308779</v>
      </c>
    </row>
    <row r="416" customFormat="false" ht="9" hidden="false" customHeight="true" outlineLevel="0" collapsed="false">
      <c r="A416" s="10"/>
      <c r="B416" s="8"/>
      <c r="C416" s="7"/>
      <c r="D416" s="8"/>
      <c r="E416" s="7"/>
      <c r="F416" s="7"/>
      <c r="G416" s="8"/>
      <c r="H416" s="8"/>
      <c r="I416" s="9"/>
      <c r="J416" s="9"/>
    </row>
    <row r="417" customFormat="false" ht="15" hidden="false" customHeight="false" outlineLevel="0" collapsed="false">
      <c r="A417" s="10" t="s">
        <v>152</v>
      </c>
      <c r="B417" s="8" t="n">
        <v>55</v>
      </c>
      <c r="C417" s="7" t="s">
        <v>12</v>
      </c>
      <c r="D417" s="8" t="n">
        <v>1992</v>
      </c>
      <c r="E417" s="7"/>
      <c r="F417" s="7"/>
      <c r="G417" s="8"/>
      <c r="H417" s="8"/>
      <c r="I417" s="9" t="n">
        <v>0.0980902777777778</v>
      </c>
      <c r="J417" s="12" t="n">
        <f aca="false">VALUE(SUBSTITUTE($A$417,"miles",""))/(I417*24)</f>
        <v>21.2389380530973</v>
      </c>
    </row>
    <row r="418" customFormat="false" ht="15" hidden="false" customHeight="false" outlineLevel="0" collapsed="false">
      <c r="A418" s="10"/>
      <c r="B418" s="13" t="n">
        <v>61</v>
      </c>
      <c r="C418" s="10" t="s">
        <v>214</v>
      </c>
      <c r="D418" s="13" t="s">
        <v>269</v>
      </c>
      <c r="E418" s="10" t="s">
        <v>165</v>
      </c>
      <c r="F418" s="10" t="s">
        <v>128</v>
      </c>
      <c r="G418" s="13"/>
      <c r="H418" s="13"/>
      <c r="I418" s="11" t="n">
        <v>0.0919791666666667</v>
      </c>
      <c r="J418" s="14" t="n">
        <f aca="false">VALUE(SUBSTITUTE($A$417,"miles",""))/(I418*24)</f>
        <v>22.6500566251416</v>
      </c>
    </row>
    <row r="419" s="1" customFormat="true" ht="15" hidden="false" customHeight="false" outlineLevel="0" collapsed="false">
      <c r="A419" s="10"/>
      <c r="B419" s="13" t="n">
        <v>63</v>
      </c>
      <c r="C419" s="10" t="s">
        <v>29</v>
      </c>
      <c r="D419" s="13" t="s">
        <v>270</v>
      </c>
      <c r="E419" s="10" t="s">
        <v>271</v>
      </c>
      <c r="F419" s="10"/>
      <c r="G419" s="8"/>
      <c r="H419" s="8" t="s">
        <v>19</v>
      </c>
      <c r="I419" s="11" t="n">
        <v>0.105763888888889</v>
      </c>
      <c r="J419" s="14" t="n">
        <f aca="false">VALUE(SUBSTITUTE($A$417,"miles",""))/(I419*24)</f>
        <v>19.6979645436638</v>
      </c>
    </row>
    <row r="420" customFormat="false" ht="15" hidden="false" customHeight="false" outlineLevel="0" collapsed="false">
      <c r="A420" s="10"/>
      <c r="B420" s="8" t="n">
        <v>64</v>
      </c>
      <c r="C420" s="7" t="s">
        <v>29</v>
      </c>
      <c r="D420" s="8" t="n">
        <v>1985</v>
      </c>
      <c r="E420" s="7"/>
      <c r="F420" s="7"/>
      <c r="G420" s="8"/>
      <c r="H420" s="8" t="s">
        <v>19</v>
      </c>
      <c r="I420" s="9" t="n">
        <v>0.108055555555556</v>
      </c>
      <c r="J420" s="12" t="n">
        <f aca="false">VALUE(SUBSTITUTE($A$417,"miles",""))/(I420*24)</f>
        <v>19.2802056555269</v>
      </c>
    </row>
    <row r="421" customFormat="false" ht="15" hidden="false" customHeight="false" outlineLevel="0" collapsed="false">
      <c r="A421" s="10"/>
      <c r="B421" s="8" t="n">
        <v>65</v>
      </c>
      <c r="C421" s="7" t="s">
        <v>29</v>
      </c>
      <c r="D421" s="8" t="n">
        <v>1986</v>
      </c>
      <c r="E421" s="7"/>
      <c r="F421" s="7"/>
      <c r="G421" s="8"/>
      <c r="H421" s="8" t="s">
        <v>19</v>
      </c>
      <c r="I421" s="9" t="n">
        <v>0.107199074074074</v>
      </c>
      <c r="J421" s="12" t="n">
        <f aca="false">VALUE(SUBSTITUTE($A$417,"miles",""))/(I421*24)</f>
        <v>19.434247462751</v>
      </c>
    </row>
    <row r="422" customFormat="false" ht="15" hidden="false" customHeight="false" outlineLevel="0" collapsed="false">
      <c r="A422" s="10"/>
      <c r="B422" s="8" t="n">
        <v>66</v>
      </c>
      <c r="C422" s="7" t="s">
        <v>29</v>
      </c>
      <c r="D422" s="8" t="n">
        <v>1987</v>
      </c>
      <c r="E422" s="7"/>
      <c r="F422" s="7"/>
      <c r="G422" s="8"/>
      <c r="H422" s="8" t="s">
        <v>19</v>
      </c>
      <c r="I422" s="9" t="n">
        <v>0.107233796296296</v>
      </c>
      <c r="J422" s="12" t="n">
        <f aca="false">VALUE(SUBSTITUTE($A$417,"miles",""))/(I422*24)</f>
        <v>19.4279546681058</v>
      </c>
    </row>
    <row r="423" s="1" customFormat="true" ht="15" hidden="false" customHeight="false" outlineLevel="0" collapsed="false">
      <c r="A423" s="10"/>
      <c r="B423" s="13" t="n">
        <v>68</v>
      </c>
      <c r="C423" s="10" t="s">
        <v>29</v>
      </c>
      <c r="D423" s="13" t="s">
        <v>272</v>
      </c>
      <c r="E423" s="10" t="s">
        <v>137</v>
      </c>
      <c r="F423" s="10"/>
      <c r="G423" s="8"/>
      <c r="H423" s="8" t="s">
        <v>19</v>
      </c>
      <c r="I423" s="11" t="n">
        <v>0.106261574074074</v>
      </c>
      <c r="J423" s="14" t="n">
        <f aca="false">VALUE(SUBSTITUTE($A$417,"miles",""))/(I423*24)</f>
        <v>19.6057074392768</v>
      </c>
    </row>
    <row r="424" s="1" customFormat="true" ht="15" hidden="false" customHeight="false" outlineLevel="0" collapsed="false">
      <c r="A424" s="10"/>
      <c r="B424" s="13" t="n">
        <v>69</v>
      </c>
      <c r="C424" s="10" t="s">
        <v>29</v>
      </c>
      <c r="D424" s="13" t="s">
        <v>273</v>
      </c>
      <c r="E424" s="10" t="s">
        <v>220</v>
      </c>
      <c r="F424" s="10"/>
      <c r="G424" s="8"/>
      <c r="H424" s="8" t="s">
        <v>19</v>
      </c>
      <c r="I424" s="11" t="n">
        <v>0.107627314814815</v>
      </c>
      <c r="J424" s="14" t="n">
        <f aca="false">VALUE(SUBSTITUTE($A$417,"miles",""))/(I424*24)</f>
        <v>19.3569200989353</v>
      </c>
    </row>
    <row r="425" customFormat="false" ht="15" hidden="false" customHeight="false" outlineLevel="0" collapsed="false">
      <c r="A425" s="10"/>
      <c r="B425" s="8" t="n">
        <v>71</v>
      </c>
      <c r="C425" s="7" t="s">
        <v>29</v>
      </c>
      <c r="D425" s="8" t="n">
        <v>1992</v>
      </c>
      <c r="E425" s="7"/>
      <c r="F425" s="7"/>
      <c r="G425" s="8"/>
      <c r="H425" s="8" t="s">
        <v>19</v>
      </c>
      <c r="I425" s="9" t="n">
        <v>0.114490740740741</v>
      </c>
      <c r="J425" s="12" t="n">
        <f aca="false">VALUE(SUBSTITUTE($A$417,"miles",""))/(I425*24)</f>
        <v>18.1965224423776</v>
      </c>
    </row>
    <row r="426" s="1" customFormat="true" ht="15" hidden="false" customHeight="false" outlineLevel="0" collapsed="false">
      <c r="A426" s="10"/>
      <c r="B426" s="13" t="n">
        <v>72</v>
      </c>
      <c r="C426" s="10" t="s">
        <v>29</v>
      </c>
      <c r="D426" s="13" t="s">
        <v>274</v>
      </c>
      <c r="E426" s="10" t="s">
        <v>220</v>
      </c>
      <c r="F426" s="10"/>
      <c r="G426" s="8"/>
      <c r="H426" s="8"/>
      <c r="I426" s="11" t="n">
        <v>0.114108796296296</v>
      </c>
      <c r="J426" s="14" t="n">
        <f aca="false">VALUE(SUBSTITUTE($A$417,"miles",""))/(I426*24)</f>
        <v>18.2574297596106</v>
      </c>
    </row>
    <row r="427" customFormat="false" ht="9" hidden="false" customHeight="true" outlineLevel="0" collapsed="false">
      <c r="A427" s="10"/>
      <c r="B427" s="8"/>
      <c r="C427" s="7"/>
      <c r="D427" s="8"/>
      <c r="E427" s="7"/>
      <c r="F427" s="7"/>
      <c r="G427" s="8"/>
      <c r="H427" s="8"/>
      <c r="I427" s="9"/>
      <c r="J427" s="9"/>
    </row>
    <row r="428" customFormat="false" ht="15" hidden="false" customHeight="false" outlineLevel="0" collapsed="false">
      <c r="A428" s="10" t="s">
        <v>185</v>
      </c>
      <c r="B428" s="8" t="n">
        <v>61</v>
      </c>
      <c r="C428" s="7" t="s">
        <v>214</v>
      </c>
      <c r="D428" s="8" t="n">
        <v>1995</v>
      </c>
      <c r="E428" s="7"/>
      <c r="F428" s="7"/>
      <c r="G428" s="8"/>
      <c r="H428" s="8" t="s">
        <v>19</v>
      </c>
      <c r="I428" s="9" t="n">
        <v>0.199386574074074</v>
      </c>
      <c r="J428" s="12" t="n">
        <f aca="false">VALUE(SUBSTITUTE($A$428,"miles",""))/(I428*24)</f>
        <v>20.8974284553318</v>
      </c>
    </row>
    <row r="429" customFormat="false" ht="15" hidden="false" customHeight="false" outlineLevel="0" collapsed="false">
      <c r="A429" s="10"/>
      <c r="B429" s="13" t="n">
        <v>62</v>
      </c>
      <c r="C429" s="10" t="s">
        <v>214</v>
      </c>
      <c r="D429" s="13" t="n">
        <v>1997</v>
      </c>
      <c r="E429" s="10"/>
      <c r="F429" s="10" t="s">
        <v>128</v>
      </c>
      <c r="G429" s="13"/>
      <c r="H429" s="13" t="s">
        <v>39</v>
      </c>
      <c r="I429" s="11" t="n">
        <v>0.193206018518518</v>
      </c>
      <c r="J429" s="14" t="n">
        <f aca="false">VALUE(SUBSTITUTE($A$428,"miles",""))/(I429*24)</f>
        <v>21.5659258371773</v>
      </c>
    </row>
    <row r="430" customFormat="false" ht="15" hidden="false" customHeight="false" outlineLevel="0" collapsed="false">
      <c r="A430" s="10"/>
      <c r="B430" s="13" t="n">
        <v>63</v>
      </c>
      <c r="C430" s="10" t="s">
        <v>214</v>
      </c>
      <c r="D430" s="13" t="n">
        <v>1997</v>
      </c>
      <c r="E430" s="10"/>
      <c r="F430" s="10"/>
      <c r="G430" s="8" t="s">
        <v>14</v>
      </c>
      <c r="H430" s="8" t="s">
        <v>19</v>
      </c>
      <c r="I430" s="11" t="n">
        <v>0.195578703703704</v>
      </c>
      <c r="J430" s="14" t="n">
        <f aca="false">VALUE(SUBSTITUTE($A$428,"miles",""))/(I430*24)</f>
        <v>21.3042963664339</v>
      </c>
    </row>
    <row r="431" customFormat="false" ht="15" hidden="false" customHeight="false" outlineLevel="0" collapsed="false">
      <c r="A431" s="10"/>
      <c r="B431" s="8" t="n">
        <v>63</v>
      </c>
      <c r="C431" s="7" t="s">
        <v>29</v>
      </c>
      <c r="D431" s="8" t="n">
        <v>1984</v>
      </c>
      <c r="E431" s="7"/>
      <c r="F431" s="7"/>
      <c r="G431" s="8" t="s">
        <v>14</v>
      </c>
      <c r="H431" s="8" t="s">
        <v>19</v>
      </c>
      <c r="I431" s="9" t="n">
        <v>0.220613425925926</v>
      </c>
      <c r="J431" s="12" t="n">
        <f aca="false">VALUE(SUBSTITUTE($A$428,"miles",""))/(I431*24)</f>
        <v>18.8867320707203</v>
      </c>
    </row>
    <row r="432" customFormat="false" ht="15" hidden="false" customHeight="false" outlineLevel="0" collapsed="false">
      <c r="A432" s="10"/>
      <c r="B432" s="8" t="n">
        <v>64</v>
      </c>
      <c r="C432" s="7" t="s">
        <v>29</v>
      </c>
      <c r="D432" s="8" t="n">
        <v>1985</v>
      </c>
      <c r="E432" s="7"/>
      <c r="F432" s="7"/>
      <c r="G432" s="8" t="s">
        <v>14</v>
      </c>
      <c r="H432" s="8" t="s">
        <v>19</v>
      </c>
      <c r="I432" s="9" t="n">
        <v>0.218599537037037</v>
      </c>
      <c r="J432" s="12" t="n">
        <f aca="false">VALUE(SUBSTITUTE($A$428,"miles",""))/(I432*24)</f>
        <v>19.060729602372</v>
      </c>
    </row>
    <row r="433" customFormat="false" ht="15" hidden="false" customHeight="false" outlineLevel="0" collapsed="false">
      <c r="A433" s="10"/>
      <c r="B433" s="13" t="n">
        <v>65</v>
      </c>
      <c r="C433" s="10" t="s">
        <v>29</v>
      </c>
      <c r="D433" s="13" t="s">
        <v>275</v>
      </c>
      <c r="E433" s="10" t="s">
        <v>276</v>
      </c>
      <c r="F433" s="10"/>
      <c r="G433" s="8" t="s">
        <v>14</v>
      </c>
      <c r="H433" s="8" t="s">
        <v>19</v>
      </c>
      <c r="I433" s="11" t="n">
        <v>0.215625</v>
      </c>
      <c r="J433" s="14" t="n">
        <f aca="false">VALUE(SUBSTITUTE($A$428,"miles",""))/(I433*24)</f>
        <v>19.3236714975845</v>
      </c>
    </row>
    <row r="434" customFormat="false" ht="15" hidden="false" customHeight="false" outlineLevel="0" collapsed="false">
      <c r="A434" s="10"/>
      <c r="B434" s="13" t="n">
        <v>66</v>
      </c>
      <c r="C434" s="10" t="s">
        <v>29</v>
      </c>
      <c r="D434" s="13" t="s">
        <v>277</v>
      </c>
      <c r="E434" s="10" t="s">
        <v>137</v>
      </c>
      <c r="F434" s="10"/>
      <c r="G434" s="8" t="s">
        <v>14</v>
      </c>
      <c r="H434" s="8" t="s">
        <v>19</v>
      </c>
      <c r="I434" s="11" t="n">
        <v>0.220613425925926</v>
      </c>
      <c r="J434" s="14" t="n">
        <f aca="false">VALUE(SUBSTITUTE($A$428,"miles",""))/(I434*24)</f>
        <v>18.8867320707203</v>
      </c>
    </row>
    <row r="435" customFormat="false" ht="15" hidden="false" customHeight="false" outlineLevel="0" collapsed="false">
      <c r="A435" s="10"/>
      <c r="B435" s="13" t="n">
        <v>67</v>
      </c>
      <c r="C435" s="10" t="s">
        <v>29</v>
      </c>
      <c r="D435" s="13" t="s">
        <v>278</v>
      </c>
      <c r="E435" s="10" t="s">
        <v>137</v>
      </c>
      <c r="F435" s="10"/>
      <c r="G435" s="8"/>
      <c r="H435" s="8" t="s">
        <v>19</v>
      </c>
      <c r="I435" s="11" t="n">
        <v>0.228032407407407</v>
      </c>
      <c r="J435" s="14" t="n">
        <f aca="false">VALUE(SUBSTITUTE($A$428,"miles",""))/(I435*24)</f>
        <v>18.2722566236931</v>
      </c>
    </row>
    <row r="436" customFormat="false" ht="15" hidden="false" customHeight="false" outlineLevel="0" collapsed="false">
      <c r="A436" s="10"/>
      <c r="B436" s="13" t="n">
        <v>68</v>
      </c>
      <c r="C436" s="10" t="s">
        <v>29</v>
      </c>
      <c r="D436" s="13" t="s">
        <v>279</v>
      </c>
      <c r="E436" s="10" t="s">
        <v>137</v>
      </c>
      <c r="F436" s="10"/>
      <c r="G436" s="8"/>
      <c r="H436" s="8" t="s">
        <v>19</v>
      </c>
      <c r="I436" s="11" t="n">
        <v>0.23099537037037</v>
      </c>
      <c r="J436" s="14" t="n">
        <f aca="false">VALUE(SUBSTITUTE($A$428,"miles",""))/(I436*24)</f>
        <v>18.0378795470488</v>
      </c>
    </row>
    <row r="437" customFormat="false" ht="15" hidden="false" customHeight="false" outlineLevel="0" collapsed="false">
      <c r="A437" s="10"/>
      <c r="B437" s="8" t="n">
        <v>69</v>
      </c>
      <c r="C437" s="7" t="s">
        <v>29</v>
      </c>
      <c r="D437" s="8" t="n">
        <v>1990</v>
      </c>
      <c r="E437" s="7"/>
      <c r="F437" s="7"/>
      <c r="G437" s="8"/>
      <c r="H437" s="8" t="s">
        <v>19</v>
      </c>
      <c r="I437" s="9" t="n">
        <v>0.247106481481481</v>
      </c>
      <c r="J437" s="12" t="n">
        <f aca="false">VALUE(SUBSTITUTE($A$428,"miles",""))/(I437*24)</f>
        <v>16.8618266978923</v>
      </c>
    </row>
    <row r="438" customFormat="false" ht="15" hidden="false" customHeight="false" outlineLevel="0" collapsed="false">
      <c r="A438" s="10"/>
      <c r="B438" s="13" t="n">
        <v>70</v>
      </c>
      <c r="C438" s="10" t="s">
        <v>29</v>
      </c>
      <c r="D438" s="13" t="s">
        <v>280</v>
      </c>
      <c r="E438" s="10" t="s">
        <v>281</v>
      </c>
      <c r="F438" s="10"/>
      <c r="G438" s="8"/>
      <c r="H438" s="8" t="s">
        <v>19</v>
      </c>
      <c r="I438" s="11" t="n">
        <v>0.235543981481481</v>
      </c>
      <c r="J438" s="14" t="n">
        <f aca="false">VALUE(SUBSTITUTE($A$428,"miles",""))/(I438*24)</f>
        <v>17.6895484251388</v>
      </c>
    </row>
    <row r="439" customFormat="false" ht="15" hidden="false" customHeight="false" outlineLevel="0" collapsed="false">
      <c r="A439" s="10"/>
      <c r="B439" s="13" t="n">
        <v>72</v>
      </c>
      <c r="C439" s="10" t="s">
        <v>29</v>
      </c>
      <c r="D439" s="13" t="s">
        <v>282</v>
      </c>
      <c r="E439" s="10" t="s">
        <v>194</v>
      </c>
      <c r="F439" s="10"/>
      <c r="G439" s="13"/>
      <c r="H439" s="13" t="s">
        <v>39</v>
      </c>
      <c r="I439" s="11" t="n">
        <v>0.237395833333333</v>
      </c>
      <c r="J439" s="14" t="n">
        <f aca="false">VALUE(SUBSTITUTE($A$428,"miles",""))/(I439*24)</f>
        <v>17.551557700746</v>
      </c>
    </row>
    <row r="440" customFormat="false" ht="9" hidden="false" customHeight="true" outlineLevel="0" collapsed="false">
      <c r="A440" s="10"/>
      <c r="B440" s="8"/>
      <c r="C440" s="7"/>
      <c r="D440" s="8"/>
      <c r="E440" s="7"/>
      <c r="F440" s="7"/>
      <c r="G440" s="8"/>
      <c r="H440" s="8"/>
      <c r="I440" s="9"/>
      <c r="J440" s="9"/>
    </row>
    <row r="441" customFormat="false" ht="15" hidden="false" customHeight="false" outlineLevel="0" collapsed="false">
      <c r="A441" s="10" t="s">
        <v>199</v>
      </c>
      <c r="B441" s="8" t="n">
        <v>61</v>
      </c>
      <c r="C441" s="7" t="s">
        <v>214</v>
      </c>
      <c r="D441" s="8" t="s">
        <v>215</v>
      </c>
      <c r="E441" s="7" t="s">
        <v>220</v>
      </c>
      <c r="F441" s="7"/>
      <c r="G441" s="8" t="s">
        <v>14</v>
      </c>
      <c r="H441" s="8" t="s">
        <v>19</v>
      </c>
      <c r="I441" s="20" t="s">
        <v>217</v>
      </c>
      <c r="J441" s="12" t="n">
        <f aca="false">VALUE(SUBSTITUTE(I441,"m",""))/VALUE(SUBSTITUTE($A$441,"hours",""))</f>
        <v>19.75</v>
      </c>
    </row>
    <row r="442" customFormat="false" ht="15" hidden="false" customHeight="false" outlineLevel="0" collapsed="false">
      <c r="A442" s="10"/>
      <c r="B442" s="8" t="n">
        <v>63</v>
      </c>
      <c r="C442" s="7" t="s">
        <v>214</v>
      </c>
      <c r="D442" s="8" t="n">
        <v>1997</v>
      </c>
      <c r="E442" s="7"/>
      <c r="F442" s="7"/>
      <c r="G442" s="8" t="s">
        <v>14</v>
      </c>
      <c r="H442" s="8" t="s">
        <v>19</v>
      </c>
      <c r="I442" s="20" t="s">
        <v>283</v>
      </c>
      <c r="J442" s="12" t="n">
        <f aca="false">VALUE(SUBSTITUTE(I442,"m",""))/VALUE(SUBSTITUTE($A$441,"hours",""))</f>
        <v>19.1058333333333</v>
      </c>
    </row>
    <row r="443" customFormat="false" ht="15" hidden="false" customHeight="false" outlineLevel="0" collapsed="false">
      <c r="A443" s="10"/>
      <c r="B443" s="8" t="n">
        <v>63</v>
      </c>
      <c r="C443" s="7" t="s">
        <v>29</v>
      </c>
      <c r="D443" s="8" t="n">
        <v>1984</v>
      </c>
      <c r="E443" s="7"/>
      <c r="F443" s="7"/>
      <c r="G443" s="8" t="s">
        <v>14</v>
      </c>
      <c r="H443" s="8" t="s">
        <v>19</v>
      </c>
      <c r="I443" s="20" t="s">
        <v>284</v>
      </c>
      <c r="J443" s="12" t="n">
        <f aca="false">VALUE(SUBSTITUTE(I443,"m",""))/VALUE(SUBSTITUTE($A$441,"hours",""))</f>
        <v>16.7358333333333</v>
      </c>
    </row>
    <row r="444" customFormat="false" ht="15" hidden="false" customHeight="false" outlineLevel="0" collapsed="false">
      <c r="A444" s="10"/>
      <c r="B444" s="8" t="n">
        <v>64</v>
      </c>
      <c r="C444" s="7" t="s">
        <v>29</v>
      </c>
      <c r="D444" s="8" t="n">
        <v>1985</v>
      </c>
      <c r="E444" s="7"/>
      <c r="F444" s="7"/>
      <c r="G444" s="8" t="s">
        <v>14</v>
      </c>
      <c r="H444" s="8" t="s">
        <v>19</v>
      </c>
      <c r="I444" s="20" t="s">
        <v>285</v>
      </c>
      <c r="J444" s="12" t="n">
        <f aca="false">VALUE(SUBSTITUTE(I444,"m",""))/VALUE(SUBSTITUTE($A$441,"hours",""))</f>
        <v>17.1708333333333</v>
      </c>
    </row>
    <row r="445" customFormat="false" ht="15" hidden="false" customHeight="false" outlineLevel="0" collapsed="false">
      <c r="A445" s="10"/>
      <c r="B445" s="13" t="n">
        <v>65</v>
      </c>
      <c r="C445" s="10" t="s">
        <v>214</v>
      </c>
      <c r="D445" s="13" t="n">
        <v>1999</v>
      </c>
      <c r="E445" s="10"/>
      <c r="F445" s="10" t="s">
        <v>128</v>
      </c>
      <c r="G445" s="13" t="s">
        <v>43</v>
      </c>
      <c r="H445" s="13" t="s">
        <v>39</v>
      </c>
      <c r="I445" s="21" t="s">
        <v>286</v>
      </c>
      <c r="J445" s="14" t="n">
        <f aca="false">VALUE(SUBSTITUTE(I445,"m",""))/VALUE(SUBSTITUTE($A$441,"hours",""))</f>
        <v>19.9358333333333</v>
      </c>
    </row>
    <row r="446" customFormat="false" ht="15" hidden="false" customHeight="false" outlineLevel="0" collapsed="false">
      <c r="A446" s="10"/>
      <c r="B446" s="8" t="n">
        <v>65</v>
      </c>
      <c r="C446" s="7" t="s">
        <v>29</v>
      </c>
      <c r="D446" s="8" t="s">
        <v>287</v>
      </c>
      <c r="E446" s="7" t="s">
        <v>220</v>
      </c>
      <c r="F446" s="7"/>
      <c r="G446" s="8" t="s">
        <v>14</v>
      </c>
      <c r="H446" s="8" t="s">
        <v>19</v>
      </c>
      <c r="I446" s="20" t="s">
        <v>288</v>
      </c>
      <c r="J446" s="12" t="n">
        <f aca="false">VALUE(SUBSTITUTE(I446,"m",""))/VALUE(SUBSTITUTE($A$441,"hours",""))</f>
        <v>17.2216666666667</v>
      </c>
    </row>
    <row r="447" customFormat="false" ht="15" hidden="false" customHeight="false" outlineLevel="0" collapsed="false">
      <c r="A447" s="10"/>
      <c r="B447" s="13" t="n">
        <v>67</v>
      </c>
      <c r="C447" s="10" t="s">
        <v>29</v>
      </c>
      <c r="D447" s="13" t="s">
        <v>289</v>
      </c>
      <c r="E447" s="10" t="s">
        <v>220</v>
      </c>
      <c r="F447" s="10"/>
      <c r="G447" s="13" t="s">
        <v>14</v>
      </c>
      <c r="H447" s="13" t="s">
        <v>39</v>
      </c>
      <c r="I447" s="21" t="s">
        <v>290</v>
      </c>
      <c r="J447" s="14" t="n">
        <f aca="false">VALUE(SUBSTITUTE(I447,"m",""))/VALUE(SUBSTITUTE($A$441,"hours",""))</f>
        <v>17.1441666666667</v>
      </c>
    </row>
    <row r="448" customFormat="false" ht="26.25" hidden="false" customHeight="true" outlineLevel="0" collapsed="false">
      <c r="A448" s="10"/>
      <c r="B448" s="8"/>
      <c r="C448" s="7"/>
      <c r="D448" s="8"/>
      <c r="E448" s="7"/>
      <c r="F448" s="7"/>
      <c r="G448" s="7"/>
      <c r="H448" s="7"/>
      <c r="I448" s="9"/>
      <c r="J448" s="9"/>
    </row>
    <row r="449" customFormat="false" ht="27.75" hidden="false" customHeight="true" outlineLevel="0" collapsed="false">
      <c r="A449" s="23" t="s">
        <v>291</v>
      </c>
      <c r="B449" s="7"/>
      <c r="C449" s="7"/>
      <c r="D449" s="8"/>
      <c r="E449" s="8"/>
      <c r="F449" s="23"/>
      <c r="G449" s="23"/>
      <c r="H449" s="23"/>
      <c r="I449" s="8"/>
      <c r="J449" s="8"/>
    </row>
    <row r="450" customFormat="false" ht="15" hidden="false" customHeight="false" outlineLevel="0" collapsed="false">
      <c r="A450" s="1" t="s">
        <v>292</v>
      </c>
      <c r="B450" s="7"/>
      <c r="C450" s="7"/>
      <c r="D450" s="8"/>
      <c r="E450" s="8"/>
      <c r="F450" s="24"/>
      <c r="G450" s="24"/>
      <c r="H450" s="24"/>
      <c r="I450" s="8"/>
      <c r="J450" s="8"/>
    </row>
    <row r="451" customFormat="false" ht="15" hidden="false" customHeight="false" outlineLevel="0" collapsed="false">
      <c r="A451" s="1" t="s">
        <v>293</v>
      </c>
      <c r="B451" s="7"/>
      <c r="C451" s="7"/>
      <c r="D451" s="8"/>
      <c r="E451" s="8"/>
      <c r="F451" s="24"/>
      <c r="G451" s="24"/>
      <c r="H451" s="24"/>
      <c r="I451" s="8"/>
      <c r="J451" s="8"/>
    </row>
    <row r="452" customFormat="false" ht="15" hidden="false" customHeight="false" outlineLevel="0" collapsed="false">
      <c r="A452" s="1" t="s">
        <v>294</v>
      </c>
      <c r="B452" s="7"/>
      <c r="C452" s="7"/>
      <c r="D452" s="8"/>
      <c r="E452" s="8"/>
      <c r="F452" s="24"/>
      <c r="G452" s="24"/>
      <c r="H452" s="24"/>
      <c r="I452" s="8"/>
      <c r="J452" s="8"/>
    </row>
  </sheetData>
  <mergeCells count="4">
    <mergeCell ref="A1:J1"/>
    <mergeCell ref="A3:J3"/>
    <mergeCell ref="A5:J5"/>
    <mergeCell ref="A6:J6"/>
  </mergeCells>
  <printOptions headings="false" gridLines="false" gridLinesSet="true" horizontalCentered="false" verticalCentered="false"/>
  <pageMargins left="0.267361111111111" right="0.7" top="0.352777777777778" bottom="0.238888888888889"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155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2019-11-03T22:02:18Z</dcterms:created>
  <dc:creator>Chris Dyason</dc:creator>
  <dc:description/>
  <dc:language>en-GB</dc:language>
  <cp:lastModifiedBy/>
  <cp:lastPrinted>2019-12-15T16:36:52Z</cp:lastPrinted>
  <dcterms:modified xsi:type="dcterms:W3CDTF">2024-10-22T16:40:28Z</dcterms:modified>
  <cp:revision>31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