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Work\Colin\Cambridge\Cycling Stuff\CCC Admin\CCC Time Trial Records\"/>
    </mc:Choice>
  </mc:AlternateContent>
  <xr:revisionPtr revIDLastSave="0" documentId="13_ncr:1_{29F7B980-A810-41EC-97A6-45EB6EE16BC1}" xr6:coauthVersionLast="47" xr6:coauthVersionMax="47" xr10:uidLastSave="{00000000-0000-0000-0000-000000000000}"/>
  <bookViews>
    <workbookView xWindow="-108" yWindow="-108" windowWidth="23256" windowHeight="12576" tabRatio="500" xr2:uid="{00000000-000D-0000-FFFF-FFFF00000000}"/>
  </bookViews>
  <sheets>
    <sheet name="2024" sheetId="1" r:id="rId1"/>
  </sheets>
  <definedNames>
    <definedName name="_xlnm.Print_Area" localSheetId="0">'2024'!$A$1:$J$450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362" i="1" l="1"/>
  <c r="J448" i="1"/>
  <c r="J447" i="1"/>
  <c r="J446" i="1"/>
  <c r="J445" i="1"/>
  <c r="J444" i="1"/>
  <c r="J443" i="1"/>
  <c r="J442" i="1"/>
  <c r="J440" i="1"/>
  <c r="J439" i="1"/>
  <c r="J438" i="1"/>
  <c r="J437" i="1"/>
  <c r="J436" i="1"/>
  <c r="J435" i="1"/>
  <c r="J434" i="1"/>
  <c r="J433" i="1"/>
  <c r="J432" i="1"/>
  <c r="J431" i="1"/>
  <c r="J430" i="1"/>
  <c r="J429" i="1"/>
  <c r="J427" i="1"/>
  <c r="J426" i="1"/>
  <c r="J425" i="1"/>
  <c r="J424" i="1"/>
  <c r="J423" i="1"/>
  <c r="J422" i="1"/>
  <c r="J421" i="1"/>
  <c r="J420" i="1"/>
  <c r="J419" i="1"/>
  <c r="J418" i="1"/>
  <c r="J416" i="1"/>
  <c r="J415" i="1"/>
  <c r="J414" i="1"/>
  <c r="J413" i="1"/>
  <c r="J412" i="1"/>
  <c r="J411" i="1"/>
  <c r="J410" i="1"/>
  <c r="J409" i="1"/>
  <c r="J408" i="1"/>
  <c r="J406" i="1"/>
  <c r="J405" i="1"/>
  <c r="J404" i="1"/>
  <c r="J403" i="1"/>
  <c r="J402" i="1"/>
  <c r="J401" i="1"/>
  <c r="J400" i="1"/>
  <c r="J399" i="1"/>
  <c r="J398" i="1"/>
  <c r="J397" i="1"/>
  <c r="J396" i="1"/>
  <c r="J395" i="1"/>
  <c r="J394" i="1"/>
  <c r="J393" i="1"/>
  <c r="J392" i="1"/>
  <c r="J391" i="1"/>
  <c r="J390" i="1"/>
  <c r="J389" i="1"/>
  <c r="J388" i="1"/>
  <c r="J387" i="1"/>
  <c r="J386" i="1"/>
  <c r="J385" i="1"/>
  <c r="J383" i="1"/>
  <c r="J382" i="1"/>
  <c r="J381" i="1"/>
  <c r="J380" i="1"/>
  <c r="J379" i="1"/>
  <c r="J378" i="1"/>
  <c r="J377" i="1"/>
  <c r="J376" i="1"/>
  <c r="J375" i="1"/>
  <c r="J374" i="1"/>
  <c r="J373" i="1"/>
  <c r="J372" i="1"/>
  <c r="J371" i="1"/>
  <c r="J367" i="1"/>
  <c r="J366" i="1"/>
  <c r="J364" i="1"/>
  <c r="J361" i="1"/>
  <c r="J360" i="1"/>
  <c r="J359" i="1"/>
  <c r="J355" i="1"/>
  <c r="J354" i="1"/>
  <c r="J353" i="1"/>
  <c r="J352" i="1"/>
  <c r="J350" i="1"/>
  <c r="J349" i="1"/>
  <c r="J348" i="1"/>
  <c r="J347" i="1"/>
  <c r="J346" i="1"/>
  <c r="J345" i="1"/>
  <c r="J344" i="1"/>
  <c r="J343" i="1"/>
  <c r="J342" i="1"/>
  <c r="J341" i="1"/>
  <c r="J340" i="1"/>
  <c r="J339"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99" i="1"/>
  <c r="J98" i="1"/>
  <c r="J97" i="1"/>
  <c r="J96" i="1"/>
  <c r="J95" i="1"/>
  <c r="J94" i="1"/>
  <c r="J93" i="1"/>
  <c r="J92" i="1"/>
  <c r="J91" i="1"/>
  <c r="J90" i="1"/>
  <c r="J89" i="1"/>
  <c r="J88" i="1"/>
  <c r="J87" i="1"/>
  <c r="J86" i="1"/>
  <c r="J85" i="1"/>
  <c r="J84"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8" authorId="0" shapeId="0" xr:uid="{00000000-0006-0000-0000-000001000000}">
      <text>
        <r>
          <rPr>
            <sz val="11"/>
            <color rgb="FF000000"/>
            <rFont val="Calibri"/>
            <family val="2"/>
            <charset val="1"/>
          </rPr>
          <t>Speed is a calculation. Do not overwrite</t>
        </r>
      </text>
    </comment>
  </commentList>
</comments>
</file>

<file path=xl/sharedStrings.xml><?xml version="1.0" encoding="utf-8"?>
<sst xmlns="http://schemas.openxmlformats.org/spreadsheetml/2006/main" count="1076" uniqueCount="297">
  <si>
    <t>CAMBRIDGE CC VETERANS' (age over 40) ALL-TIME RECORDS – 2024</t>
  </si>
  <si>
    <r>
      <rPr>
        <sz val="12"/>
        <color rgb="FF000000"/>
        <rFont val="Calibri"/>
        <family val="2"/>
        <charset val="1"/>
      </rPr>
      <t xml:space="preserve">A Veteran can only establish an age record if someone older or of the same age has not already gone faster.  On this list any rider in </t>
    </r>
    <r>
      <rPr>
        <b/>
        <sz val="12"/>
        <color rgb="FF000000"/>
        <rFont val="Calibri"/>
        <family val="2"/>
        <charset val="1"/>
      </rPr>
      <t>bold type</t>
    </r>
    <r>
      <rPr>
        <sz val="12"/>
        <color rgb="FF000000"/>
        <rFont val="Calibri"/>
        <family val="2"/>
        <charset val="1"/>
      </rPr>
      <t xml:space="preserve"> is faster than all younger riders, up as far as the next bold type age on the list.  The youngest name in bold type at each distance is faster than any over-40 in the Club's history.</t>
    </r>
  </si>
  <si>
    <t>NN = Current National Age Record          N = Formerly a National Age Record</t>
  </si>
  <si>
    <t>AA = Current East Anglian Age Record             A = Formerly an East Anglian Age Record</t>
  </si>
  <si>
    <t>Nat</t>
  </si>
  <si>
    <t>EA</t>
  </si>
  <si>
    <t>MPH</t>
  </si>
  <si>
    <t>SOLO BICYCLES – OPEN</t>
  </si>
  <si>
    <t>10 miles</t>
  </si>
  <si>
    <t>David McGaw</t>
  </si>
  <si>
    <t>23.03.19</t>
  </si>
  <si>
    <t>E2/10</t>
  </si>
  <si>
    <t>Mick Draper</t>
  </si>
  <si>
    <t>Ken Platts</t>
  </si>
  <si>
    <t>N</t>
  </si>
  <si>
    <t>John Morley</t>
  </si>
  <si>
    <t>Freddie Whipp</t>
  </si>
  <si>
    <t>05.07.06</t>
  </si>
  <si>
    <t>F20/10</t>
  </si>
  <si>
    <t>A</t>
  </si>
  <si>
    <t>Martin Reynolds</t>
  </si>
  <si>
    <t>14.07.19</t>
  </si>
  <si>
    <t>F11/10</t>
  </si>
  <si>
    <t>Bob Watson</t>
  </si>
  <si>
    <t>27.08.17</t>
  </si>
  <si>
    <t>V718</t>
  </si>
  <si>
    <t>André Dyason</t>
  </si>
  <si>
    <t>22.07.17</t>
  </si>
  <si>
    <t>Derek Mayne</t>
  </si>
  <si>
    <t>John Lindsell</t>
  </si>
  <si>
    <t>19.06.24</t>
  </si>
  <si>
    <t>31.05.14</t>
  </si>
  <si>
    <t>Gerry Ashley</t>
  </si>
  <si>
    <t>Andy Grant</t>
  </si>
  <si>
    <t>07.06.16</t>
  </si>
  <si>
    <t>23.07.15</t>
  </si>
  <si>
    <t>F2A/10</t>
  </si>
  <si>
    <t>09.06.16</t>
  </si>
  <si>
    <t>16.06.18</t>
  </si>
  <si>
    <t>AA</t>
  </si>
  <si>
    <t>05.05.18</t>
  </si>
  <si>
    <t>06.05.17</t>
  </si>
  <si>
    <t>15.06.19</t>
  </si>
  <si>
    <t>NN</t>
  </si>
  <si>
    <t>01.09.18</t>
  </si>
  <si>
    <t>18.07.18</t>
  </si>
  <si>
    <t>Chris Dyason</t>
  </si>
  <si>
    <t>06.09.14</t>
  </si>
  <si>
    <t>Ted Wells</t>
  </si>
  <si>
    <t>18.07.21</t>
  </si>
  <si>
    <t>23.06.21</t>
  </si>
  <si>
    <t>02.06.21.</t>
  </si>
  <si>
    <t>16.05.21</t>
  </si>
  <si>
    <t>02.09.17</t>
  </si>
  <si>
    <t>15.07.18</t>
  </si>
  <si>
    <t>03.06.23</t>
  </si>
  <si>
    <t>Peter Baumber</t>
  </si>
  <si>
    <t>16.06.21</t>
  </si>
  <si>
    <t>14.08.04</t>
  </si>
  <si>
    <t>01.6.22</t>
  </si>
  <si>
    <t>02.09.23</t>
  </si>
  <si>
    <t>26.06.24</t>
  </si>
  <si>
    <t>08.08.09</t>
  </si>
  <si>
    <t>30.06.10</t>
  </si>
  <si>
    <t>B10/3</t>
  </si>
  <si>
    <t>20.06.13</t>
  </si>
  <si>
    <t>15 miles</t>
  </si>
  <si>
    <t>17.08.19</t>
  </si>
  <si>
    <t>F2/15</t>
  </si>
  <si>
    <t>B15/1</t>
  </si>
  <si>
    <t>10.07.19</t>
  </si>
  <si>
    <t>5.9.20</t>
  </si>
  <si>
    <t>30.5.21</t>
  </si>
  <si>
    <t>24.03.19</t>
  </si>
  <si>
    <t>B15/2</t>
  </si>
  <si>
    <t>30.05.21</t>
  </si>
  <si>
    <t>25.05.22</t>
  </si>
  <si>
    <t>B15/3</t>
  </si>
  <si>
    <t>26.08.23</t>
  </si>
  <si>
    <t>03.07.13</t>
  </si>
  <si>
    <t>25 miles</t>
  </si>
  <si>
    <t>Grahame Fisher</t>
  </si>
  <si>
    <t>B25/38</t>
  </si>
  <si>
    <t>14.07.12</t>
  </si>
  <si>
    <t>E2/25</t>
  </si>
  <si>
    <t>14.06.14</t>
  </si>
  <si>
    <t>05.09.15</t>
  </si>
  <si>
    <t>25.06.16</t>
  </si>
  <si>
    <t>03.06.18</t>
  </si>
  <si>
    <t>R25/3H</t>
  </si>
  <si>
    <t>27.05.18</t>
  </si>
  <si>
    <t>08.04.17</t>
  </si>
  <si>
    <t>23.06.19</t>
  </si>
  <si>
    <t>06.04.19</t>
  </si>
  <si>
    <t>08.07.18</t>
  </si>
  <si>
    <t>B25/8</t>
  </si>
  <si>
    <t>24.08.14</t>
  </si>
  <si>
    <t>20.09.20</t>
  </si>
  <si>
    <t>07.08.21</t>
  </si>
  <si>
    <t>F2A/25</t>
  </si>
  <si>
    <t>21.07.21</t>
  </si>
  <si>
    <t>20.08.16</t>
  </si>
  <si>
    <t>11.09.22</t>
  </si>
  <si>
    <t>F2a/25</t>
  </si>
  <si>
    <t>07.05.22</t>
  </si>
  <si>
    <t>26.08.17</t>
  </si>
  <si>
    <t>08.09.18</t>
  </si>
  <si>
    <t>07.07.01</t>
  </si>
  <si>
    <t>F1/25</t>
  </si>
  <si>
    <t>18.08.02</t>
  </si>
  <si>
    <t>F1b/25</t>
  </si>
  <si>
    <t>24.05.03</t>
  </si>
  <si>
    <t>12.09.21</t>
  </si>
  <si>
    <t>F2/25</t>
  </si>
  <si>
    <t>A25/34</t>
  </si>
  <si>
    <t>23.09.23</t>
  </si>
  <si>
    <t>24.06.06</t>
  </si>
  <si>
    <t>20.07.24</t>
  </si>
  <si>
    <t>09.09.07</t>
  </si>
  <si>
    <t>04.09.10</t>
  </si>
  <si>
    <t>29.06.13</t>
  </si>
  <si>
    <t>30 miles</t>
  </si>
  <si>
    <t>Peter Hoare</t>
  </si>
  <si>
    <t>Paul Rivett</t>
  </si>
  <si>
    <t>11.06.06</t>
  </si>
  <si>
    <t>E2/30</t>
  </si>
  <si>
    <t>22.09.18</t>
  </si>
  <si>
    <t>E2/30c</t>
  </si>
  <si>
    <t>The Club Senior Record</t>
  </si>
  <si>
    <t>05.10.13</t>
  </si>
  <si>
    <t>03.10.15</t>
  </si>
  <si>
    <t>07.10.17</t>
  </si>
  <si>
    <t>12.07.14</t>
  </si>
  <si>
    <t>A30/9</t>
  </si>
  <si>
    <t>28.08.21</t>
  </si>
  <si>
    <t>B30/1b</t>
  </si>
  <si>
    <t>29.07.01</t>
  </si>
  <si>
    <t>E72</t>
  </si>
  <si>
    <t>20.06.19</t>
  </si>
  <si>
    <t>B30/1</t>
  </si>
  <si>
    <t>09.06.02</t>
  </si>
  <si>
    <t>08.06.03</t>
  </si>
  <si>
    <t>E5/30e</t>
  </si>
  <si>
    <t>01.05.21</t>
  </si>
  <si>
    <t>F2/30</t>
  </si>
  <si>
    <t>21.08.22</t>
  </si>
  <si>
    <t>L308</t>
  </si>
  <si>
    <t>09.07.05</t>
  </si>
  <si>
    <t>22.07.07</t>
  </si>
  <si>
    <t>11.05.24</t>
  </si>
  <si>
    <t>E33/30</t>
  </si>
  <si>
    <t>28.06.08</t>
  </si>
  <si>
    <t>50 miles</t>
  </si>
  <si>
    <t>Mick Swales</t>
  </si>
  <si>
    <t>H50/14</t>
  </si>
  <si>
    <t>E2/50B</t>
  </si>
  <si>
    <t>F1/50</t>
  </si>
  <si>
    <t>31.05.08</t>
  </si>
  <si>
    <t>E2/50c</t>
  </si>
  <si>
    <t>21.07.12</t>
  </si>
  <si>
    <t>20.07.13</t>
  </si>
  <si>
    <t>14.05.16</t>
  </si>
  <si>
    <t>12.05.18</t>
  </si>
  <si>
    <t>15.07.17</t>
  </si>
  <si>
    <t>04.08.96</t>
  </si>
  <si>
    <t>F1g</t>
  </si>
  <si>
    <t>15.8.20</t>
  </si>
  <si>
    <t>16.06.19</t>
  </si>
  <si>
    <t>29.05.94</t>
  </si>
  <si>
    <t>E82</t>
  </si>
  <si>
    <t>13.06.21</t>
  </si>
  <si>
    <t>F2/50</t>
  </si>
  <si>
    <t>22.5.21</t>
  </si>
  <si>
    <t>22.5.22</t>
  </si>
  <si>
    <t>13.05.17</t>
  </si>
  <si>
    <t>20.08.00</t>
  </si>
  <si>
    <t>E2/50b</t>
  </si>
  <si>
    <t>21.07.19</t>
  </si>
  <si>
    <t>04.08.02</t>
  </si>
  <si>
    <t>22.05.21</t>
  </si>
  <si>
    <t>21.05.22</t>
  </si>
  <si>
    <t>27.05.23.</t>
  </si>
  <si>
    <t>18.06.24</t>
  </si>
  <si>
    <t>26.07.08</t>
  </si>
  <si>
    <t>E2/50</t>
  </si>
  <si>
    <t>100 miles</t>
  </si>
  <si>
    <t>H100/13</t>
  </si>
  <si>
    <t>26.06.11</t>
  </si>
  <si>
    <t>E2/100</t>
  </si>
  <si>
    <t>22.06.14</t>
  </si>
  <si>
    <t>19.06.16</t>
  </si>
  <si>
    <t>B100/4</t>
  </si>
  <si>
    <t>18.06.17</t>
  </si>
  <si>
    <t>07.07.96</t>
  </si>
  <si>
    <t>F1h</t>
  </si>
  <si>
    <t>30.08.98</t>
  </si>
  <si>
    <t>B100/8</t>
  </si>
  <si>
    <t>30.07.00</t>
  </si>
  <si>
    <t>F1/100</t>
  </si>
  <si>
    <t>12 hours</t>
  </si>
  <si>
    <t>236.95m</t>
  </si>
  <si>
    <t>252.75m</t>
  </si>
  <si>
    <t>260.67m</t>
  </si>
  <si>
    <t>248.47m</t>
  </si>
  <si>
    <t>19.08.07</t>
  </si>
  <si>
    <t>E2/12h</t>
  </si>
  <si>
    <t>283.10m</t>
  </si>
  <si>
    <t>280.56m</t>
  </si>
  <si>
    <t>22.08.10</t>
  </si>
  <si>
    <t>E2/12hr</t>
  </si>
  <si>
    <t>280.57m</t>
  </si>
  <si>
    <t>236.70m</t>
  </si>
  <si>
    <t>17.08.13</t>
  </si>
  <si>
    <t>275.06m</t>
  </si>
  <si>
    <t>Ken Usher</t>
  </si>
  <si>
    <t>10.09.95</t>
  </si>
  <si>
    <t>On a tricycle</t>
  </si>
  <si>
    <t>237.00m</t>
  </si>
  <si>
    <t>223.14m</t>
  </si>
  <si>
    <t>12.09.93</t>
  </si>
  <si>
    <t>F1</t>
  </si>
  <si>
    <t>226.79m</t>
  </si>
  <si>
    <t>24 hours</t>
  </si>
  <si>
    <t>Bill Clough</t>
  </si>
  <si>
    <t>29.08.93</t>
  </si>
  <si>
    <t>B24</t>
  </si>
  <si>
    <t>398.63m</t>
  </si>
  <si>
    <t>374.13m</t>
  </si>
  <si>
    <t>26.08.95</t>
  </si>
  <si>
    <t>B24/1</t>
  </si>
  <si>
    <t>387.10m</t>
  </si>
  <si>
    <t>21.06.92</t>
  </si>
  <si>
    <t>B24/2</t>
  </si>
  <si>
    <t>360.69m</t>
  </si>
  <si>
    <t>SOLO BICYCLES – FEMALE</t>
  </si>
  <si>
    <t>Angela Platt</t>
  </si>
  <si>
    <t>16.06.01</t>
  </si>
  <si>
    <t>B10/34</t>
  </si>
  <si>
    <t>Julia Ertner</t>
  </si>
  <si>
    <t>04.03.17</t>
  </si>
  <si>
    <t>B10/19</t>
  </si>
  <si>
    <t>Ann Shuttleworth</t>
  </si>
  <si>
    <t>14.09.19</t>
  </si>
  <si>
    <t>B10/3a</t>
  </si>
  <si>
    <t>27.04.24</t>
  </si>
  <si>
    <t>11.09.16</t>
  </si>
  <si>
    <t>TRICYCLES – OPEN</t>
  </si>
  <si>
    <t>14.06.90</t>
  </si>
  <si>
    <t>2y10</t>
  </si>
  <si>
    <t>27.05.95</t>
  </si>
  <si>
    <t>C10/1</t>
  </si>
  <si>
    <t>21.05.11</t>
  </si>
  <si>
    <t>22.09.01</t>
  </si>
  <si>
    <t>13.06.02</t>
  </si>
  <si>
    <t>20.08.95</t>
  </si>
  <si>
    <t>F1a</t>
  </si>
  <si>
    <t>17.08.03</t>
  </si>
  <si>
    <t>26.09.04</t>
  </si>
  <si>
    <t>14.08.05</t>
  </si>
  <si>
    <t>24.09.06</t>
  </si>
  <si>
    <t>03.06.89</t>
  </si>
  <si>
    <t>18.05.91</t>
  </si>
  <si>
    <t>B30/6</t>
  </si>
  <si>
    <t>17.05.92</t>
  </si>
  <si>
    <t>16.06.93</t>
  </si>
  <si>
    <t>29.09.01</t>
  </si>
  <si>
    <t>E1/30</t>
  </si>
  <si>
    <t>27.09.03</t>
  </si>
  <si>
    <t>03.10.04</t>
  </si>
  <si>
    <t>06.08.95</t>
  </si>
  <si>
    <t>10.06.84</t>
  </si>
  <si>
    <t xml:space="preserve">F1 </t>
  </si>
  <si>
    <t>25.06.89</t>
  </si>
  <si>
    <t>16.06.90</t>
  </si>
  <si>
    <t>08.08.93</t>
  </si>
  <si>
    <t>17.08.86</t>
  </si>
  <si>
    <t>E39</t>
  </si>
  <si>
    <t>16.08.87</t>
  </si>
  <si>
    <t>03.07.88</t>
  </si>
  <si>
    <t>02.07.89</t>
  </si>
  <si>
    <t>07.07.91</t>
  </si>
  <si>
    <t>F1d</t>
  </si>
  <si>
    <t>04.07.93</t>
  </si>
  <si>
    <t>229.27m</t>
  </si>
  <si>
    <t>200.83m</t>
  </si>
  <si>
    <t>206.05m</t>
  </si>
  <si>
    <t>239.23m</t>
  </si>
  <si>
    <t>07.09.86</t>
  </si>
  <si>
    <t>206.66m</t>
  </si>
  <si>
    <t>11.09.88</t>
  </si>
  <si>
    <t>205.73m</t>
  </si>
  <si>
    <t>Making a claim</t>
  </si>
  <si>
    <t>If you wish to make a claim for a record, send details of the event, date, time and distance to: -</t>
  </si>
  <si>
    <t xml:space="preserve">records@cambridgecc.co.uk </t>
  </si>
  <si>
    <t>Note that only rides in Official CTT events or Cambridge CC club events qualify.</t>
  </si>
  <si>
    <t>Mary Twitchett</t>
  </si>
  <si>
    <t>07.09.24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</si>
</sst>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rgb="FF000000"/>
      <name val="Calibri"/>
      <family val="2"/>
      <charset val="1"/>
    </font>
    <font>
      <b/>
      <sz val="11"/>
      <color rgb="FF000000"/>
      <name val="Calibri"/>
      <family val="2"/>
      <charset val="1"/>
    </font>
    <font>
      <b/>
      <sz val="18"/>
      <color rgb="FF000000"/>
      <name val="Calibri"/>
      <family val="2"/>
      <charset val="1"/>
    </font>
    <font>
      <sz val="12"/>
      <color rgb="FF000000"/>
      <name val="Calibri"/>
      <family val="2"/>
      <charset val="1"/>
    </font>
    <font>
      <b/>
      <sz val="12"/>
      <color rgb="FF000000"/>
      <name val="Calibri"/>
      <family val="2"/>
      <charset val="1"/>
    </font>
    <font>
      <b/>
      <sz val="10"/>
      <color rgb="FF000000"/>
      <name val="Arial Narrow"/>
      <family val="2"/>
      <charset val="1"/>
    </font>
    <font>
      <sz val="10"/>
      <color rgb="FF000000"/>
      <name val="Arial Narrow"/>
      <family val="2"/>
      <charset val="1"/>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9">
    <xf numFmtId="0" fontId="0" fillId="0" borderId="0" xfId="0"/>
    <xf numFmtId="0" fontId="3" fillId="0" borderId="0" xfId="0" applyFont="1" applyAlignment="1">
      <alignment horizontal="center" wrapText="1"/>
    </xf>
    <xf numFmtId="0" fontId="2" fillId="0" borderId="0" xfId="0" applyFont="1" applyAlignment="1">
      <alignment horizontal="center"/>
    </xf>
    <xf numFmtId="0" fontId="1" fillId="0" borderId="0" xfId="0" applyFont="1"/>
    <xf numFmtId="0" fontId="0" fillId="0" borderId="0" xfId="0" applyAlignment="1">
      <alignment horizontal="center"/>
    </xf>
    <xf numFmtId="46" fontId="0" fillId="0" borderId="0" xfId="0" applyNumberFormat="1" applyAlignment="1">
      <alignment horizontal="center"/>
    </xf>
    <xf numFmtId="0" fontId="3" fillId="0" borderId="0" xfId="0" applyFont="1" applyAlignment="1">
      <alignment horizontal="center" wrapText="1"/>
    </xf>
    <xf numFmtId="0" fontId="3" fillId="0" borderId="0" xfId="0" applyFont="1"/>
    <xf numFmtId="0" fontId="3" fillId="0" borderId="0" xfId="0" applyFont="1" applyAlignment="1">
      <alignment horizontal="center"/>
    </xf>
    <xf numFmtId="46" fontId="3" fillId="0" borderId="0" xfId="0" applyNumberFormat="1" applyFont="1" applyAlignment="1">
      <alignment horizontal="center"/>
    </xf>
    <xf numFmtId="0" fontId="4" fillId="0" borderId="0" xfId="0" applyFont="1"/>
    <xf numFmtId="46" fontId="4" fillId="0" borderId="0" xfId="0" applyNumberFormat="1" applyFont="1" applyAlignment="1">
      <alignment horizontal="center"/>
    </xf>
    <xf numFmtId="164" fontId="3" fillId="0" borderId="0" xfId="0" applyNumberFormat="1" applyFont="1" applyAlignment="1">
      <alignment horizontal="center"/>
    </xf>
    <xf numFmtId="0" fontId="4" fillId="0" borderId="0" xfId="0" applyFont="1" applyAlignment="1">
      <alignment horizontal="center"/>
    </xf>
    <xf numFmtId="164" fontId="4" fillId="0" borderId="0" xfId="0" applyNumberFormat="1" applyFont="1" applyAlignment="1">
      <alignment horizontal="center"/>
    </xf>
    <xf numFmtId="0" fontId="1" fillId="0" borderId="0" xfId="0" applyFont="1" applyAlignment="1">
      <alignment horizontal="center"/>
    </xf>
    <xf numFmtId="0" fontId="3" fillId="0" borderId="0" xfId="0" applyFont="1" applyAlignment="1">
      <alignment horizontal="left"/>
    </xf>
    <xf numFmtId="21" fontId="3" fillId="0" borderId="0" xfId="0" applyNumberFormat="1" applyFont="1"/>
    <xf numFmtId="21" fontId="3" fillId="0" borderId="0" xfId="0" applyNumberFormat="1" applyFont="1" applyAlignment="1">
      <alignment horizontal="center"/>
    </xf>
    <xf numFmtId="21" fontId="4" fillId="0" borderId="0" xfId="0" applyNumberFormat="1" applyFont="1" applyAlignment="1">
      <alignment horizontal="center"/>
    </xf>
    <xf numFmtId="49" fontId="3" fillId="0" borderId="0" xfId="0" applyNumberFormat="1" applyFont="1" applyAlignment="1">
      <alignment horizontal="center"/>
    </xf>
    <xf numFmtId="49" fontId="4" fillId="0" borderId="0" xfId="0" applyNumberFormat="1" applyFont="1" applyAlignment="1">
      <alignment horizontal="center"/>
    </xf>
    <xf numFmtId="14" fontId="0" fillId="0" borderId="0" xfId="0" applyNumberFormat="1"/>
    <xf numFmtId="0" fontId="5" fillId="0" borderId="0" xfId="0" applyFont="1" applyAlignment="1">
      <alignment horizontal="left" vertical="center"/>
    </xf>
    <xf numFmtId="0" fontId="6" fillId="0" borderId="0" xfId="0" applyFont="1" applyAlignment="1">
      <alignment vertical="center"/>
    </xf>
    <xf numFmtId="0" fontId="7" fillId="0" borderId="0" xfId="0" applyFont="1" applyAlignment="1">
      <alignment horizontal="center"/>
    </xf>
    <xf numFmtId="0" fontId="7" fillId="0" borderId="0" xfId="0" applyFont="1"/>
    <xf numFmtId="46" fontId="7" fillId="0" borderId="0" xfId="0" applyNumberFormat="1" applyFont="1" applyAlignment="1">
      <alignment horizontal="center"/>
    </xf>
    <xf numFmtId="164" fontId="7"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453"/>
  <sheetViews>
    <sheetView tabSelected="1" topLeftCell="A349" zoomScaleNormal="100" workbookViewId="0">
      <selection activeCell="O358" sqref="O358"/>
    </sheetView>
  </sheetViews>
  <sheetFormatPr defaultColWidth="8.6640625" defaultRowHeight="14.4" x14ac:dyDescent="0.3"/>
  <cols>
    <col min="1" max="1" width="9.109375" style="3" customWidth="1"/>
    <col min="2" max="2" width="6.33203125" style="4" customWidth="1"/>
    <col min="3" max="3" width="21.109375" customWidth="1"/>
    <col min="4" max="4" width="11.33203125" style="4" customWidth="1"/>
    <col min="6" max="6" width="22.6640625" customWidth="1"/>
    <col min="7" max="8" width="4.33203125" customWidth="1"/>
    <col min="9" max="9" width="10.109375" style="5" customWidth="1"/>
    <col min="10" max="10" width="12.21875" style="5" customWidth="1"/>
    <col min="12" max="12" width="10.5546875" customWidth="1"/>
    <col min="1024" max="1024" width="9.109375" customWidth="1"/>
  </cols>
  <sheetData>
    <row r="1" spans="1:10" ht="23.4" x14ac:dyDescent="0.45">
      <c r="A1" s="2" t="s">
        <v>0</v>
      </c>
      <c r="B1" s="2"/>
      <c r="C1" s="2"/>
      <c r="D1" s="2"/>
      <c r="E1" s="2"/>
      <c r="F1" s="2"/>
      <c r="G1" s="2"/>
      <c r="H1" s="2"/>
      <c r="I1" s="2"/>
      <c r="J1" s="2"/>
    </row>
    <row r="2" spans="1:10" ht="8.25" customHeight="1" x14ac:dyDescent="0.3"/>
    <row r="3" spans="1:10" ht="50.25" customHeight="1" x14ac:dyDescent="0.3">
      <c r="A3" s="1" t="s">
        <v>1</v>
      </c>
      <c r="B3" s="1"/>
      <c r="C3" s="1"/>
      <c r="D3" s="1"/>
      <c r="E3" s="1"/>
      <c r="F3" s="1"/>
      <c r="G3" s="1"/>
      <c r="H3" s="1"/>
      <c r="I3" s="1"/>
      <c r="J3" s="1"/>
    </row>
    <row r="4" spans="1:10" ht="6.75" customHeight="1" x14ac:dyDescent="0.3">
      <c r="A4" s="6"/>
      <c r="B4" s="6"/>
      <c r="C4" s="6"/>
      <c r="D4" s="6"/>
      <c r="E4" s="6"/>
      <c r="F4" s="6"/>
      <c r="G4" s="6"/>
      <c r="H4" s="6"/>
      <c r="I4" s="6"/>
      <c r="J4" s="6"/>
    </row>
    <row r="5" spans="1:10" ht="15.75" customHeight="1" x14ac:dyDescent="0.3">
      <c r="A5" s="1" t="s">
        <v>2</v>
      </c>
      <c r="B5" s="1"/>
      <c r="C5" s="1"/>
      <c r="D5" s="1"/>
      <c r="E5" s="1"/>
      <c r="F5" s="1"/>
      <c r="G5" s="1"/>
      <c r="H5" s="1"/>
      <c r="I5" s="1"/>
      <c r="J5" s="1"/>
    </row>
    <row r="6" spans="1:10" ht="12.75" customHeight="1" x14ac:dyDescent="0.3">
      <c r="A6" s="1" t="s">
        <v>3</v>
      </c>
      <c r="B6" s="1"/>
      <c r="C6" s="1"/>
      <c r="D6" s="1"/>
      <c r="E6" s="1"/>
      <c r="F6" s="1"/>
      <c r="G6" s="1"/>
      <c r="H6" s="1"/>
      <c r="I6" s="1"/>
      <c r="J6" s="1"/>
    </row>
    <row r="7" spans="1:10" ht="9" customHeight="1" x14ac:dyDescent="0.3">
      <c r="A7" s="7"/>
      <c r="B7" s="8"/>
      <c r="C7" s="7"/>
      <c r="D7" s="8"/>
      <c r="E7" s="7"/>
      <c r="F7" s="7"/>
      <c r="G7" s="7"/>
      <c r="H7" s="7"/>
      <c r="I7" s="9"/>
      <c r="J7" s="9"/>
    </row>
    <row r="8" spans="1:10" ht="15.6" x14ac:dyDescent="0.3">
      <c r="A8" s="10"/>
      <c r="B8" s="8"/>
      <c r="C8" s="7"/>
      <c r="D8" s="8"/>
      <c r="E8" s="7"/>
      <c r="F8" s="7"/>
      <c r="G8" s="10" t="s">
        <v>4</v>
      </c>
      <c r="H8" s="10" t="s">
        <v>5</v>
      </c>
      <c r="I8" s="9"/>
      <c r="J8" s="11" t="s">
        <v>6</v>
      </c>
    </row>
    <row r="9" spans="1:10" ht="15.6" x14ac:dyDescent="0.3">
      <c r="A9" s="10" t="s">
        <v>7</v>
      </c>
      <c r="B9" s="8"/>
      <c r="C9" s="7"/>
      <c r="D9" s="8"/>
      <c r="E9" s="7"/>
      <c r="F9" s="7"/>
      <c r="G9" s="7"/>
      <c r="H9" s="7"/>
      <c r="I9" s="9"/>
      <c r="J9" s="9"/>
    </row>
    <row r="10" spans="1:10" ht="15.6" x14ac:dyDescent="0.3">
      <c r="A10" s="10"/>
      <c r="B10" s="8"/>
      <c r="C10" s="7"/>
      <c r="D10" s="8"/>
      <c r="E10" s="7"/>
      <c r="F10" s="7"/>
      <c r="J10" s="4"/>
    </row>
    <row r="11" spans="1:10" ht="15.6" x14ac:dyDescent="0.3">
      <c r="A11" s="10" t="s">
        <v>8</v>
      </c>
      <c r="B11" s="8">
        <v>40</v>
      </c>
      <c r="C11" s="7" t="s">
        <v>9</v>
      </c>
      <c r="D11" s="8" t="s">
        <v>10</v>
      </c>
      <c r="E11" s="7" t="s">
        <v>11</v>
      </c>
      <c r="F11" s="7"/>
      <c r="G11" s="8"/>
      <c r="H11" s="8"/>
      <c r="I11" s="9">
        <v>1.35763888888889E-2</v>
      </c>
      <c r="J11" s="12">
        <f t="shared" ref="J11:J42" si="0">VALUE(SUBSTITUTE($A$11,"miles",""))/(I11*24)</f>
        <v>30.690537084398954</v>
      </c>
    </row>
    <row r="12" spans="1:10" ht="15.6" x14ac:dyDescent="0.3">
      <c r="A12" s="10"/>
      <c r="B12" s="8">
        <v>42</v>
      </c>
      <c r="C12" s="7" t="s">
        <v>12</v>
      </c>
      <c r="D12" s="8">
        <v>1979</v>
      </c>
      <c r="E12" s="7"/>
      <c r="F12" s="7"/>
      <c r="G12" s="8"/>
      <c r="H12" s="8"/>
      <c r="I12" s="9">
        <v>1.6261574074074098E-2</v>
      </c>
      <c r="J12" s="12">
        <f t="shared" si="0"/>
        <v>25.622775800711704</v>
      </c>
    </row>
    <row r="13" spans="1:10" ht="15.6" x14ac:dyDescent="0.3">
      <c r="A13" s="10"/>
      <c r="B13" s="8">
        <v>47</v>
      </c>
      <c r="C13" s="7" t="s">
        <v>12</v>
      </c>
      <c r="D13" s="8">
        <v>1984</v>
      </c>
      <c r="E13" s="7"/>
      <c r="F13" s="7"/>
      <c r="G13" s="8"/>
      <c r="H13" s="8"/>
      <c r="I13" s="9">
        <v>1.6238425925925899E-2</v>
      </c>
      <c r="J13" s="12">
        <f t="shared" si="0"/>
        <v>25.659301496792629</v>
      </c>
    </row>
    <row r="14" spans="1:10" ht="15.6" x14ac:dyDescent="0.3">
      <c r="A14" s="10"/>
      <c r="B14" s="8">
        <v>48</v>
      </c>
      <c r="C14" s="7" t="s">
        <v>13</v>
      </c>
      <c r="D14" s="8">
        <v>2000</v>
      </c>
      <c r="E14" s="7" t="s">
        <v>11</v>
      </c>
      <c r="F14" s="7"/>
      <c r="G14" s="8" t="s">
        <v>14</v>
      </c>
      <c r="H14" s="8"/>
      <c r="I14" s="9">
        <v>1.35648148148148E-2</v>
      </c>
      <c r="J14" s="12">
        <f t="shared" si="0"/>
        <v>30.716723549488087</v>
      </c>
    </row>
    <row r="15" spans="1:10" ht="15.6" x14ac:dyDescent="0.3">
      <c r="A15" s="10"/>
      <c r="B15" s="8">
        <v>49</v>
      </c>
      <c r="C15" s="7" t="s">
        <v>15</v>
      </c>
      <c r="D15" s="8">
        <v>1989</v>
      </c>
      <c r="E15" s="7"/>
      <c r="F15" s="7"/>
      <c r="G15" s="8"/>
      <c r="H15" s="8"/>
      <c r="I15" s="9">
        <v>1.53356481481481E-2</v>
      </c>
      <c r="J15" s="12">
        <f t="shared" si="0"/>
        <v>27.1698113207548</v>
      </c>
    </row>
    <row r="16" spans="1:10" ht="15.6" x14ac:dyDescent="0.3">
      <c r="A16" s="10"/>
      <c r="B16" s="8">
        <v>49</v>
      </c>
      <c r="C16" s="7" t="s">
        <v>16</v>
      </c>
      <c r="D16" s="8">
        <v>1984</v>
      </c>
      <c r="E16" s="7"/>
      <c r="F16" s="7"/>
      <c r="G16" s="8"/>
      <c r="H16" s="8"/>
      <c r="I16" s="9">
        <v>1.64814814814815E-2</v>
      </c>
      <c r="J16" s="12">
        <f t="shared" si="0"/>
        <v>25.280898876404468</v>
      </c>
    </row>
    <row r="17" spans="1:10" ht="15.6" x14ac:dyDescent="0.3">
      <c r="A17" s="10"/>
      <c r="B17" s="8">
        <v>50</v>
      </c>
      <c r="C17" s="7" t="s">
        <v>15</v>
      </c>
      <c r="D17" s="8">
        <v>1990</v>
      </c>
      <c r="E17" s="7"/>
      <c r="F17" s="7"/>
      <c r="G17" s="8"/>
      <c r="H17" s="8"/>
      <c r="I17" s="9">
        <v>1.50925925925926E-2</v>
      </c>
      <c r="J17" s="12">
        <f t="shared" si="0"/>
        <v>27.607361963190172</v>
      </c>
    </row>
    <row r="18" spans="1:10" ht="15.6" x14ac:dyDescent="0.3">
      <c r="A18" s="10"/>
      <c r="B18" s="8">
        <v>50</v>
      </c>
      <c r="C18" s="7" t="s">
        <v>16</v>
      </c>
      <c r="D18" s="8">
        <v>1986</v>
      </c>
      <c r="E18" s="7"/>
      <c r="F18" s="7"/>
      <c r="G18" s="8"/>
      <c r="H18" s="8"/>
      <c r="I18" s="9">
        <v>1.55902777777778E-2</v>
      </c>
      <c r="J18" s="12">
        <f t="shared" si="0"/>
        <v>26.72605790645876</v>
      </c>
    </row>
    <row r="19" spans="1:10" ht="15.6" x14ac:dyDescent="0.3">
      <c r="A19" s="10"/>
      <c r="B19" s="8">
        <v>50</v>
      </c>
      <c r="C19" s="7" t="s">
        <v>16</v>
      </c>
      <c r="D19" s="8">
        <v>1985</v>
      </c>
      <c r="E19" s="7"/>
      <c r="F19" s="7"/>
      <c r="G19" s="8"/>
      <c r="H19" s="8"/>
      <c r="I19" s="9">
        <v>1.63078703703704E-2</v>
      </c>
      <c r="J19" s="12">
        <f t="shared" si="0"/>
        <v>25.550035486160354</v>
      </c>
    </row>
    <row r="20" spans="1:10" ht="15.6" x14ac:dyDescent="0.3">
      <c r="A20" s="10"/>
      <c r="B20" s="8">
        <v>51</v>
      </c>
      <c r="C20" s="7" t="s">
        <v>15</v>
      </c>
      <c r="D20" s="8">
        <v>1991</v>
      </c>
      <c r="E20" s="7"/>
      <c r="F20" s="7"/>
      <c r="G20" s="8"/>
      <c r="H20" s="8"/>
      <c r="I20" s="9">
        <v>1.44328703703704E-2</v>
      </c>
      <c r="J20" s="12">
        <f t="shared" si="0"/>
        <v>28.869286287088958</v>
      </c>
    </row>
    <row r="21" spans="1:10" ht="15.6" x14ac:dyDescent="0.3">
      <c r="A21" s="10"/>
      <c r="B21" s="8">
        <v>51</v>
      </c>
      <c r="C21" s="7" t="s">
        <v>16</v>
      </c>
      <c r="D21" s="8">
        <v>1987</v>
      </c>
      <c r="E21" s="7"/>
      <c r="F21" s="7"/>
      <c r="G21" s="8"/>
      <c r="H21" s="8"/>
      <c r="I21" s="9">
        <v>1.55208333333333E-2</v>
      </c>
      <c r="J21" s="12">
        <f t="shared" si="0"/>
        <v>26.845637583892678</v>
      </c>
    </row>
    <row r="22" spans="1:10" ht="15.6" x14ac:dyDescent="0.3">
      <c r="A22" s="10"/>
      <c r="B22" s="8">
        <v>51</v>
      </c>
      <c r="C22" s="7" t="s">
        <v>16</v>
      </c>
      <c r="D22" s="8">
        <v>1986</v>
      </c>
      <c r="E22" s="7"/>
      <c r="F22" s="7"/>
      <c r="G22" s="8"/>
      <c r="H22" s="8"/>
      <c r="I22" s="9">
        <v>1.59027777777778E-2</v>
      </c>
      <c r="J22" s="12">
        <f t="shared" si="0"/>
        <v>26.200873362445378</v>
      </c>
    </row>
    <row r="23" spans="1:10" ht="15.6" x14ac:dyDescent="0.3">
      <c r="A23" s="10"/>
      <c r="B23" s="8">
        <v>52</v>
      </c>
      <c r="C23" s="7" t="s">
        <v>15</v>
      </c>
      <c r="D23" s="8">
        <v>1992</v>
      </c>
      <c r="E23" s="7"/>
      <c r="F23" s="7"/>
      <c r="G23" s="8"/>
      <c r="H23" s="8"/>
      <c r="I23" s="9">
        <v>1.4791666666666699E-2</v>
      </c>
      <c r="J23" s="12">
        <f t="shared" si="0"/>
        <v>28.169014084506983</v>
      </c>
    </row>
    <row r="24" spans="1:10" ht="15.6" x14ac:dyDescent="0.3">
      <c r="A24" s="10"/>
      <c r="B24" s="8">
        <v>53</v>
      </c>
      <c r="C24" s="7" t="s">
        <v>16</v>
      </c>
      <c r="D24" s="8">
        <v>1989</v>
      </c>
      <c r="E24" s="7"/>
      <c r="F24" s="7"/>
      <c r="G24" s="8"/>
      <c r="H24" s="8"/>
      <c r="I24" s="9">
        <v>1.5543981481481501E-2</v>
      </c>
      <c r="J24" s="12">
        <f t="shared" si="0"/>
        <v>26.805658972449706</v>
      </c>
    </row>
    <row r="25" spans="1:10" ht="15.6" x14ac:dyDescent="0.3">
      <c r="A25" s="10"/>
      <c r="B25" s="8">
        <v>53</v>
      </c>
      <c r="C25" s="7" t="s">
        <v>16</v>
      </c>
      <c r="D25" s="8">
        <v>1988</v>
      </c>
      <c r="E25" s="7"/>
      <c r="F25" s="7"/>
      <c r="G25" s="8"/>
      <c r="H25" s="8"/>
      <c r="I25" s="9">
        <v>1.5717592592592599E-2</v>
      </c>
      <c r="J25" s="12">
        <f t="shared" si="0"/>
        <v>26.50957290132547</v>
      </c>
    </row>
    <row r="26" spans="1:10" ht="15.6" x14ac:dyDescent="0.3">
      <c r="A26" s="10"/>
      <c r="B26" s="8">
        <v>54</v>
      </c>
      <c r="C26" s="7" t="s">
        <v>13</v>
      </c>
      <c r="D26" s="8" t="s">
        <v>17</v>
      </c>
      <c r="E26" s="7" t="s">
        <v>18</v>
      </c>
      <c r="F26" s="7"/>
      <c r="G26" s="8"/>
      <c r="H26" s="8" t="s">
        <v>19</v>
      </c>
      <c r="I26" s="9">
        <v>1.3634259259259301E-2</v>
      </c>
      <c r="J26" s="12">
        <f t="shared" si="0"/>
        <v>30.560271646858993</v>
      </c>
    </row>
    <row r="27" spans="1:10" ht="15.6" x14ac:dyDescent="0.3">
      <c r="A27" s="10"/>
      <c r="B27" s="8">
        <v>54</v>
      </c>
      <c r="C27" s="7" t="s">
        <v>13</v>
      </c>
      <c r="D27" s="8">
        <v>2006</v>
      </c>
      <c r="E27" s="7"/>
      <c r="F27" s="7"/>
      <c r="G27" s="8"/>
      <c r="H27" s="8"/>
      <c r="I27" s="9">
        <v>1.4548611111111101E-2</v>
      </c>
      <c r="J27" s="12">
        <f t="shared" si="0"/>
        <v>28.639618138424844</v>
      </c>
    </row>
    <row r="28" spans="1:10" ht="15.6" x14ac:dyDescent="0.3">
      <c r="A28" s="7"/>
      <c r="B28" s="8">
        <v>54</v>
      </c>
      <c r="C28" s="7" t="s">
        <v>16</v>
      </c>
      <c r="D28" s="8">
        <v>1990</v>
      </c>
      <c r="E28" s="7"/>
      <c r="F28" s="7"/>
      <c r="G28" s="8"/>
      <c r="H28" s="8"/>
      <c r="I28" s="9">
        <v>1.58680555555556E-2</v>
      </c>
      <c r="J28" s="12">
        <f t="shared" si="0"/>
        <v>26.258205689277826</v>
      </c>
    </row>
    <row r="29" spans="1:10" ht="15.6" x14ac:dyDescent="0.3">
      <c r="A29" s="7"/>
      <c r="B29" s="8">
        <v>55</v>
      </c>
      <c r="C29" s="7" t="s">
        <v>13</v>
      </c>
      <c r="D29" s="8">
        <v>2007</v>
      </c>
      <c r="E29" s="7"/>
      <c r="F29" s="7"/>
      <c r="G29" s="8"/>
      <c r="H29" s="8" t="s">
        <v>19</v>
      </c>
      <c r="I29" s="9">
        <v>1.40393518518519E-2</v>
      </c>
      <c r="J29" s="12">
        <f t="shared" si="0"/>
        <v>29.678483099752576</v>
      </c>
    </row>
    <row r="30" spans="1:10" ht="15.6" x14ac:dyDescent="0.3">
      <c r="A30" s="7"/>
      <c r="B30" s="8">
        <v>55</v>
      </c>
      <c r="C30" s="7" t="s">
        <v>16</v>
      </c>
      <c r="D30" s="8">
        <v>1991</v>
      </c>
      <c r="E30" s="7"/>
      <c r="F30" s="7"/>
      <c r="G30" s="8"/>
      <c r="H30" s="8"/>
      <c r="I30" s="9">
        <v>1.51273148148148E-2</v>
      </c>
      <c r="J30" s="12">
        <f t="shared" si="0"/>
        <v>27.543993879112499</v>
      </c>
    </row>
    <row r="31" spans="1:10" ht="15.6" x14ac:dyDescent="0.3">
      <c r="A31" s="7"/>
      <c r="B31" s="8">
        <v>55</v>
      </c>
      <c r="C31" s="7" t="s">
        <v>16</v>
      </c>
      <c r="D31" s="8">
        <v>1990</v>
      </c>
      <c r="E31" s="7"/>
      <c r="F31" s="7"/>
      <c r="G31" s="8"/>
      <c r="H31" s="8"/>
      <c r="I31" s="9">
        <v>1.6539351851851899E-2</v>
      </c>
      <c r="J31" s="12">
        <f t="shared" si="0"/>
        <v>25.192442267319734</v>
      </c>
    </row>
    <row r="32" spans="1:10" ht="15.6" x14ac:dyDescent="0.3">
      <c r="A32" s="7"/>
      <c r="B32" s="13">
        <v>56</v>
      </c>
      <c r="C32" s="10" t="s">
        <v>20</v>
      </c>
      <c r="D32" s="13" t="s">
        <v>21</v>
      </c>
      <c r="E32" s="10" t="s">
        <v>22</v>
      </c>
      <c r="F32" s="10"/>
      <c r="G32" s="13"/>
      <c r="H32" s="13" t="s">
        <v>19</v>
      </c>
      <c r="I32" s="11">
        <v>1.36111111111111E-2</v>
      </c>
      <c r="J32" s="14">
        <f t="shared" si="0"/>
        <v>30.612244897959211</v>
      </c>
    </row>
    <row r="33" spans="1:10" ht="15.6" x14ac:dyDescent="0.3">
      <c r="A33" s="7"/>
      <c r="B33" s="8">
        <v>56</v>
      </c>
      <c r="C33" s="7" t="s">
        <v>23</v>
      </c>
      <c r="D33" s="8" t="s">
        <v>24</v>
      </c>
      <c r="E33" s="7" t="s">
        <v>25</v>
      </c>
      <c r="F33" s="7"/>
      <c r="G33" s="8"/>
      <c r="H33" s="8" t="s">
        <v>19</v>
      </c>
      <c r="I33" s="9">
        <v>1.37268518518519E-2</v>
      </c>
      <c r="J33" s="12">
        <f t="shared" si="0"/>
        <v>30.354131534569877</v>
      </c>
    </row>
    <row r="34" spans="1:10" ht="15.6" x14ac:dyDescent="0.3">
      <c r="A34" s="7"/>
      <c r="B34" s="8">
        <v>56</v>
      </c>
      <c r="C34" s="7" t="s">
        <v>13</v>
      </c>
      <c r="D34" s="8">
        <v>2008</v>
      </c>
      <c r="E34" s="7"/>
      <c r="F34" s="7"/>
      <c r="G34" s="8"/>
      <c r="H34" s="8" t="s">
        <v>19</v>
      </c>
      <c r="I34" s="9">
        <v>1.39583333333333E-2</v>
      </c>
      <c r="J34" s="12">
        <f t="shared" si="0"/>
        <v>29.850746268656788</v>
      </c>
    </row>
    <row r="35" spans="1:10" ht="15.6" x14ac:dyDescent="0.3">
      <c r="A35" s="7"/>
      <c r="B35" s="13">
        <v>57</v>
      </c>
      <c r="C35" s="10" t="s">
        <v>26</v>
      </c>
      <c r="D35" s="13" t="s">
        <v>27</v>
      </c>
      <c r="E35" s="10" t="s">
        <v>25</v>
      </c>
      <c r="F35" s="10"/>
      <c r="G35" s="8"/>
      <c r="H35" s="8" t="s">
        <v>19</v>
      </c>
      <c r="I35" s="11">
        <v>1.3807870370370399E-2</v>
      </c>
      <c r="J35" s="14">
        <f t="shared" si="0"/>
        <v>30.176026823134894</v>
      </c>
    </row>
    <row r="36" spans="1:10" ht="15.6" x14ac:dyDescent="0.3">
      <c r="A36" s="7"/>
      <c r="B36" s="8">
        <v>57</v>
      </c>
      <c r="C36" s="7" t="s">
        <v>13</v>
      </c>
      <c r="D36" s="8">
        <v>2009</v>
      </c>
      <c r="E36" s="7"/>
      <c r="F36" s="7"/>
      <c r="G36" s="8"/>
      <c r="H36" s="8" t="s">
        <v>19</v>
      </c>
      <c r="I36" s="9">
        <v>1.39699074074074E-2</v>
      </c>
      <c r="J36" s="12">
        <f t="shared" si="0"/>
        <v>29.826014913007477</v>
      </c>
    </row>
    <row r="37" spans="1:10" ht="15.6" x14ac:dyDescent="0.3">
      <c r="A37" s="7"/>
      <c r="B37" s="8">
        <v>57</v>
      </c>
      <c r="C37" s="7" t="s">
        <v>16</v>
      </c>
      <c r="D37" s="8">
        <v>1992</v>
      </c>
      <c r="E37" s="7"/>
      <c r="F37" s="7"/>
      <c r="G37" s="8"/>
      <c r="H37" s="8"/>
      <c r="I37" s="9">
        <v>1.5682870370370399E-2</v>
      </c>
      <c r="J37" s="12">
        <f t="shared" si="0"/>
        <v>26.568265682656779</v>
      </c>
    </row>
    <row r="38" spans="1:10" ht="15.6" x14ac:dyDescent="0.3">
      <c r="A38" s="7"/>
      <c r="B38" s="8">
        <v>58</v>
      </c>
      <c r="C38" s="7" t="s">
        <v>28</v>
      </c>
      <c r="D38" s="8">
        <v>1987</v>
      </c>
      <c r="E38" s="7"/>
      <c r="F38" s="7"/>
      <c r="G38" s="8"/>
      <c r="H38" s="8"/>
      <c r="I38" s="9">
        <v>1.7557870370370401E-2</v>
      </c>
      <c r="J38" s="12">
        <f t="shared" si="0"/>
        <v>23.731048121291984</v>
      </c>
    </row>
    <row r="39" spans="1:10" ht="15.6" x14ac:dyDescent="0.3">
      <c r="A39" s="7"/>
      <c r="B39" s="8">
        <v>58</v>
      </c>
      <c r="C39" s="7" t="s">
        <v>29</v>
      </c>
      <c r="D39" s="8">
        <v>1979</v>
      </c>
      <c r="E39" s="7"/>
      <c r="F39" s="7"/>
      <c r="G39" s="8"/>
      <c r="H39" s="8"/>
      <c r="I39" s="9">
        <v>1.8298611111111099E-2</v>
      </c>
      <c r="J39" s="12">
        <f t="shared" si="0"/>
        <v>22.770398481973452</v>
      </c>
    </row>
    <row r="40" spans="1:10" ht="15.6" x14ac:dyDescent="0.3">
      <c r="A40" s="7"/>
      <c r="B40" s="8">
        <v>59</v>
      </c>
      <c r="C40" s="7" t="s">
        <v>28</v>
      </c>
      <c r="D40" s="8">
        <v>1988</v>
      </c>
      <c r="E40" s="7"/>
      <c r="F40" s="7"/>
      <c r="G40" s="8"/>
      <c r="H40" s="8"/>
      <c r="I40" s="9">
        <v>1.7812499999999998E-2</v>
      </c>
      <c r="J40" s="12">
        <f t="shared" si="0"/>
        <v>23.391812865497077</v>
      </c>
    </row>
    <row r="41" spans="1:10" ht="15.6" x14ac:dyDescent="0.3">
      <c r="A41" s="7"/>
      <c r="B41" s="8">
        <v>60</v>
      </c>
      <c r="C41" s="7" t="s">
        <v>29</v>
      </c>
      <c r="D41" s="8">
        <v>1981</v>
      </c>
      <c r="E41" s="7"/>
      <c r="F41" s="7"/>
      <c r="G41" s="8"/>
      <c r="H41" s="8"/>
      <c r="I41" s="9">
        <v>1.86226851851852E-2</v>
      </c>
      <c r="J41" s="12">
        <f t="shared" si="0"/>
        <v>22.374145431945291</v>
      </c>
    </row>
    <row r="42" spans="1:10" ht="15.6" x14ac:dyDescent="0.3">
      <c r="A42" s="7"/>
      <c r="B42" s="8">
        <v>61</v>
      </c>
      <c r="C42" s="7" t="s">
        <v>28</v>
      </c>
      <c r="D42" s="8">
        <v>1990</v>
      </c>
      <c r="E42" s="7"/>
      <c r="F42" s="7"/>
      <c r="G42" s="8"/>
      <c r="H42" s="8"/>
      <c r="I42" s="9">
        <v>1.81712962962963E-2</v>
      </c>
      <c r="J42" s="12">
        <f t="shared" si="0"/>
        <v>22.929936305732479</v>
      </c>
    </row>
    <row r="43" spans="1:10" ht="15.6" x14ac:dyDescent="0.3">
      <c r="A43" s="7"/>
      <c r="B43" s="8">
        <v>61</v>
      </c>
      <c r="C43" s="7" t="s">
        <v>29</v>
      </c>
      <c r="D43" s="8">
        <v>1982</v>
      </c>
      <c r="E43" s="7"/>
      <c r="F43" s="7"/>
      <c r="G43" s="8"/>
      <c r="H43" s="8"/>
      <c r="I43" s="9">
        <v>1.8368055555555599E-2</v>
      </c>
      <c r="J43" s="12">
        <f t="shared" ref="J43:J74" si="1">VALUE(SUBSTITUTE($A$11,"miles",""))/(I43*24)</f>
        <v>22.684310018903535</v>
      </c>
    </row>
    <row r="44" spans="1:10" ht="15.6" x14ac:dyDescent="0.3">
      <c r="A44" s="7"/>
      <c r="B44" s="13">
        <v>61</v>
      </c>
      <c r="C44" s="10" t="s">
        <v>20</v>
      </c>
      <c r="D44" s="13" t="s">
        <v>30</v>
      </c>
      <c r="E44" s="10" t="s">
        <v>11</v>
      </c>
      <c r="F44" s="10"/>
      <c r="G44" s="13"/>
      <c r="H44" s="13"/>
      <c r="I44" s="11">
        <v>1.37847222222222E-2</v>
      </c>
      <c r="J44" s="14">
        <f t="shared" si="1"/>
        <v>30.226700251889216</v>
      </c>
    </row>
    <row r="45" spans="1:10" ht="15.6" x14ac:dyDescent="0.3">
      <c r="A45" s="7"/>
      <c r="B45" s="13">
        <v>62</v>
      </c>
      <c r="C45" s="10" t="s">
        <v>13</v>
      </c>
      <c r="D45" s="13" t="s">
        <v>31</v>
      </c>
      <c r="E45" s="10" t="s">
        <v>11</v>
      </c>
      <c r="F45" s="10"/>
      <c r="G45" s="8"/>
      <c r="H45" s="8" t="s">
        <v>19</v>
      </c>
      <c r="I45" s="11">
        <v>1.3946759259259299E-2</v>
      </c>
      <c r="J45" s="14">
        <f t="shared" si="1"/>
        <v>29.875518672199082</v>
      </c>
    </row>
    <row r="46" spans="1:10" ht="15.6" x14ac:dyDescent="0.3">
      <c r="A46" s="7"/>
      <c r="B46" s="8">
        <v>62</v>
      </c>
      <c r="C46" s="7" t="s">
        <v>32</v>
      </c>
      <c r="D46" s="8">
        <v>1992</v>
      </c>
      <c r="E46" s="7"/>
      <c r="F46" s="7"/>
      <c r="G46" s="8"/>
      <c r="H46" s="8"/>
      <c r="I46" s="9">
        <v>1.54861111111111E-2</v>
      </c>
      <c r="J46" s="12">
        <f t="shared" si="1"/>
        <v>26.905829596412577</v>
      </c>
    </row>
    <row r="47" spans="1:10" ht="15.6" x14ac:dyDescent="0.3">
      <c r="A47" s="7"/>
      <c r="B47" s="8">
        <v>62</v>
      </c>
      <c r="C47" s="7" t="s">
        <v>29</v>
      </c>
      <c r="D47" s="8">
        <v>1983</v>
      </c>
      <c r="E47" s="7"/>
      <c r="F47" s="7"/>
      <c r="G47" s="8"/>
      <c r="H47" s="8"/>
      <c r="I47" s="9">
        <v>1.9421296296296301E-2</v>
      </c>
      <c r="J47" s="12">
        <f t="shared" si="1"/>
        <v>21.454112038140636</v>
      </c>
    </row>
    <row r="48" spans="1:10" ht="15.6" x14ac:dyDescent="0.3">
      <c r="A48" s="7"/>
      <c r="B48" s="8">
        <v>63</v>
      </c>
      <c r="C48" s="7" t="s">
        <v>33</v>
      </c>
      <c r="D48" s="8" t="s">
        <v>34</v>
      </c>
      <c r="E48" s="7" t="s">
        <v>25</v>
      </c>
      <c r="F48" s="7"/>
      <c r="G48" s="8"/>
      <c r="H48" s="8" t="s">
        <v>19</v>
      </c>
      <c r="I48" s="9">
        <v>1.4189814814814799E-2</v>
      </c>
      <c r="J48" s="12">
        <f t="shared" si="1"/>
        <v>29.363784665579153</v>
      </c>
    </row>
    <row r="49" spans="1:10" ht="15.6" x14ac:dyDescent="0.3">
      <c r="A49" s="7"/>
      <c r="B49" s="8">
        <v>63</v>
      </c>
      <c r="C49" s="7" t="s">
        <v>13</v>
      </c>
      <c r="D49" s="8" t="s">
        <v>35</v>
      </c>
      <c r="E49" s="7" t="s">
        <v>36</v>
      </c>
      <c r="F49" s="7"/>
      <c r="G49" s="8"/>
      <c r="H49" s="8"/>
      <c r="I49" s="9">
        <v>1.4305555555555601E-2</v>
      </c>
      <c r="J49" s="12">
        <f t="shared" si="1"/>
        <v>29.126213592232915</v>
      </c>
    </row>
    <row r="50" spans="1:10" ht="15.6" x14ac:dyDescent="0.3">
      <c r="A50" s="7"/>
      <c r="B50" s="8">
        <v>63</v>
      </c>
      <c r="C50" s="7" t="s">
        <v>32</v>
      </c>
      <c r="D50" s="8">
        <v>1993</v>
      </c>
      <c r="E50" s="7"/>
      <c r="F50" s="7"/>
      <c r="G50" s="8"/>
      <c r="H50" s="8"/>
      <c r="I50" s="9">
        <v>1.6180555555555601E-2</v>
      </c>
      <c r="J50" s="12">
        <f t="shared" si="1"/>
        <v>25.751072961373318</v>
      </c>
    </row>
    <row r="51" spans="1:10" ht="15.6" x14ac:dyDescent="0.3">
      <c r="A51" s="7"/>
      <c r="B51" s="8">
        <v>63</v>
      </c>
      <c r="C51" s="7" t="s">
        <v>28</v>
      </c>
      <c r="D51" s="8">
        <v>1992</v>
      </c>
      <c r="E51" s="7"/>
      <c r="F51" s="7"/>
      <c r="G51" s="8"/>
      <c r="H51" s="8"/>
      <c r="I51" s="9">
        <v>1.7939814814814801E-2</v>
      </c>
      <c r="J51" s="12">
        <f t="shared" si="1"/>
        <v>23.225806451612918</v>
      </c>
    </row>
    <row r="52" spans="1:10" ht="15.6" x14ac:dyDescent="0.3">
      <c r="A52" s="7"/>
      <c r="B52" s="8">
        <v>64</v>
      </c>
      <c r="C52" s="7" t="s">
        <v>33</v>
      </c>
      <c r="D52" s="8" t="s">
        <v>27</v>
      </c>
      <c r="E52" s="7" t="s">
        <v>25</v>
      </c>
      <c r="F52" s="7"/>
      <c r="G52" s="8"/>
      <c r="H52" s="8" t="s">
        <v>19</v>
      </c>
      <c r="I52" s="9">
        <v>1.4212962962963E-2</v>
      </c>
      <c r="J52" s="12">
        <f t="shared" si="1"/>
        <v>29.315960912052038</v>
      </c>
    </row>
    <row r="53" spans="1:10" ht="15.6" x14ac:dyDescent="0.3">
      <c r="A53" s="7"/>
      <c r="B53" s="8">
        <v>64</v>
      </c>
      <c r="C53" s="7" t="s">
        <v>13</v>
      </c>
      <c r="D53" s="8" t="s">
        <v>37</v>
      </c>
      <c r="E53" s="7" t="s">
        <v>11</v>
      </c>
      <c r="F53" s="7"/>
      <c r="G53" s="8"/>
      <c r="H53" s="8" t="s">
        <v>19</v>
      </c>
      <c r="I53" s="9">
        <v>1.42708333333333E-2</v>
      </c>
      <c r="J53" s="12">
        <f t="shared" si="1"/>
        <v>29.19708029197087</v>
      </c>
    </row>
    <row r="54" spans="1:10" ht="15.6" x14ac:dyDescent="0.3">
      <c r="A54" s="7"/>
      <c r="B54" s="8">
        <v>64</v>
      </c>
      <c r="C54" s="7" t="s">
        <v>32</v>
      </c>
      <c r="D54" s="8">
        <v>1994</v>
      </c>
      <c r="E54" s="7"/>
      <c r="F54" s="7"/>
      <c r="G54" s="8"/>
      <c r="H54" s="8"/>
      <c r="I54" s="9">
        <v>1.60069444444444E-2</v>
      </c>
      <c r="J54" s="12">
        <f t="shared" si="1"/>
        <v>26.030368763557554</v>
      </c>
    </row>
    <row r="55" spans="1:10" ht="15.6" x14ac:dyDescent="0.3">
      <c r="A55" s="7"/>
      <c r="B55" s="13">
        <v>65</v>
      </c>
      <c r="C55" s="10" t="s">
        <v>33</v>
      </c>
      <c r="D55" s="13" t="s">
        <v>38</v>
      </c>
      <c r="E55" s="10" t="s">
        <v>22</v>
      </c>
      <c r="F55" s="10"/>
      <c r="G55" s="13"/>
      <c r="H55" s="13" t="s">
        <v>39</v>
      </c>
      <c r="I55" s="11">
        <v>1.39583333333333E-2</v>
      </c>
      <c r="J55" s="14">
        <f t="shared" si="1"/>
        <v>29.850746268656788</v>
      </c>
    </row>
    <row r="56" spans="1:10" ht="15.6" x14ac:dyDescent="0.3">
      <c r="A56" s="7"/>
      <c r="B56" s="8">
        <v>65</v>
      </c>
      <c r="C56" s="7" t="s">
        <v>33</v>
      </c>
      <c r="D56" s="8" t="s">
        <v>40</v>
      </c>
      <c r="E56" s="7" t="s">
        <v>11</v>
      </c>
      <c r="F56" s="7"/>
      <c r="G56" s="8"/>
      <c r="H56" s="8" t="s">
        <v>19</v>
      </c>
      <c r="I56" s="9">
        <v>1.40046296296296E-2</v>
      </c>
      <c r="J56" s="12">
        <f t="shared" si="1"/>
        <v>29.752066115702547</v>
      </c>
    </row>
    <row r="57" spans="1:10" ht="15.6" x14ac:dyDescent="0.3">
      <c r="A57" s="7"/>
      <c r="B57" s="8">
        <v>65</v>
      </c>
      <c r="C57" s="7" t="s">
        <v>13</v>
      </c>
      <c r="D57" s="8" t="s">
        <v>41</v>
      </c>
      <c r="E57" s="7" t="s">
        <v>11</v>
      </c>
      <c r="F57" s="7"/>
      <c r="G57" s="8"/>
      <c r="H57" s="8" t="s">
        <v>19</v>
      </c>
      <c r="I57" s="9">
        <v>1.45601851851852E-2</v>
      </c>
      <c r="J57" s="12">
        <f t="shared" si="1"/>
        <v>28.616852146263884</v>
      </c>
    </row>
    <row r="58" spans="1:10" ht="15.6" x14ac:dyDescent="0.3">
      <c r="A58" s="7"/>
      <c r="B58" s="13">
        <v>66</v>
      </c>
      <c r="C58" s="10" t="s">
        <v>33</v>
      </c>
      <c r="D58" s="13" t="s">
        <v>42</v>
      </c>
      <c r="E58" s="10" t="s">
        <v>22</v>
      </c>
      <c r="F58" s="10"/>
      <c r="G58" s="13" t="s">
        <v>43</v>
      </c>
      <c r="H58" s="13" t="s">
        <v>39</v>
      </c>
      <c r="I58" s="11">
        <v>1.3981481481481499E-2</v>
      </c>
      <c r="J58" s="14">
        <f t="shared" si="1"/>
        <v>29.801324503311218</v>
      </c>
    </row>
    <row r="59" spans="1:10" ht="15.6" x14ac:dyDescent="0.3">
      <c r="A59" s="7"/>
      <c r="B59" s="8">
        <v>66</v>
      </c>
      <c r="C59" s="7" t="s">
        <v>13</v>
      </c>
      <c r="D59" s="8" t="s">
        <v>44</v>
      </c>
      <c r="E59" s="7" t="s">
        <v>11</v>
      </c>
      <c r="F59" s="7"/>
      <c r="G59" s="8"/>
      <c r="H59" s="8" t="s">
        <v>39</v>
      </c>
      <c r="I59" s="9">
        <v>1.44560185185185E-2</v>
      </c>
      <c r="J59" s="12">
        <f t="shared" si="1"/>
        <v>28.823058446757443</v>
      </c>
    </row>
    <row r="60" spans="1:10" ht="15.6" x14ac:dyDescent="0.3">
      <c r="A60" s="7"/>
      <c r="B60" s="8">
        <v>66</v>
      </c>
      <c r="C60" s="7" t="s">
        <v>13</v>
      </c>
      <c r="D60" s="8" t="s">
        <v>45</v>
      </c>
      <c r="E60" s="7" t="s">
        <v>11</v>
      </c>
      <c r="F60" s="7"/>
      <c r="G60" s="8"/>
      <c r="H60" s="8" t="s">
        <v>19</v>
      </c>
      <c r="I60" s="9">
        <v>1.44675925925926E-2</v>
      </c>
      <c r="J60" s="12">
        <f t="shared" si="1"/>
        <v>28.799999999999986</v>
      </c>
    </row>
    <row r="61" spans="1:10" ht="15.6" x14ac:dyDescent="0.3">
      <c r="A61" s="7"/>
      <c r="B61" s="8">
        <v>66</v>
      </c>
      <c r="C61" s="7" t="s">
        <v>46</v>
      </c>
      <c r="D61" s="8" t="s">
        <v>47</v>
      </c>
      <c r="E61" s="7" t="s">
        <v>22</v>
      </c>
      <c r="F61" s="7"/>
      <c r="G61" s="8"/>
      <c r="H61" s="8"/>
      <c r="I61" s="9">
        <v>1.5046296296296301E-2</v>
      </c>
      <c r="J61" s="12">
        <f t="shared" si="1"/>
        <v>27.692307692307683</v>
      </c>
    </row>
    <row r="62" spans="1:10" ht="15.6" x14ac:dyDescent="0.3">
      <c r="A62" s="7"/>
      <c r="B62" s="8">
        <v>66</v>
      </c>
      <c r="C62" s="7" t="s">
        <v>32</v>
      </c>
      <c r="D62" s="8">
        <v>1996</v>
      </c>
      <c r="E62" s="7"/>
      <c r="F62" s="7"/>
      <c r="G62" s="8"/>
      <c r="H62" s="8"/>
      <c r="I62" s="9">
        <v>1.58680555555556E-2</v>
      </c>
      <c r="J62" s="12">
        <f t="shared" si="1"/>
        <v>26.258205689277826</v>
      </c>
    </row>
    <row r="63" spans="1:10" ht="15.6" x14ac:dyDescent="0.3">
      <c r="A63" s="7"/>
      <c r="B63" s="8">
        <v>66</v>
      </c>
      <c r="C63" s="7" t="s">
        <v>48</v>
      </c>
      <c r="D63" s="8">
        <v>1993</v>
      </c>
      <c r="E63" s="7"/>
      <c r="F63" s="7"/>
      <c r="G63" s="8"/>
      <c r="H63" s="8"/>
      <c r="I63" s="9">
        <v>1.6192129629629601E-2</v>
      </c>
      <c r="J63" s="12">
        <f t="shared" si="1"/>
        <v>25.732666190135856</v>
      </c>
    </row>
    <row r="64" spans="1:10" ht="15.6" x14ac:dyDescent="0.3">
      <c r="A64" s="7"/>
      <c r="B64" s="15">
        <v>68</v>
      </c>
      <c r="C64" s="10" t="s">
        <v>33</v>
      </c>
      <c r="D64" s="13" t="s">
        <v>49</v>
      </c>
      <c r="E64" s="10" t="s">
        <v>22</v>
      </c>
      <c r="F64" s="10"/>
      <c r="G64" s="13" t="s">
        <v>43</v>
      </c>
      <c r="H64" s="13" t="s">
        <v>39</v>
      </c>
      <c r="I64" s="11">
        <v>1.40625E-2</v>
      </c>
      <c r="J64" s="14">
        <f t="shared" si="1"/>
        <v>29.629629629629626</v>
      </c>
    </row>
    <row r="65" spans="1:10" ht="15.6" x14ac:dyDescent="0.3">
      <c r="A65" s="7"/>
      <c r="B65" s="8">
        <v>68</v>
      </c>
      <c r="C65" s="7" t="s">
        <v>33</v>
      </c>
      <c r="D65" s="8" t="s">
        <v>50</v>
      </c>
      <c r="E65" s="7" t="s">
        <v>11</v>
      </c>
      <c r="F65" s="7"/>
      <c r="G65" s="8" t="s">
        <v>14</v>
      </c>
      <c r="H65" s="8" t="s">
        <v>19</v>
      </c>
      <c r="I65" s="9">
        <v>1.40740740740741E-2</v>
      </c>
      <c r="J65" s="12">
        <f t="shared" si="1"/>
        <v>29.605263157894683</v>
      </c>
    </row>
    <row r="66" spans="1:10" ht="15.6" x14ac:dyDescent="0.3">
      <c r="A66" s="7"/>
      <c r="B66" s="8">
        <v>68</v>
      </c>
      <c r="C66" s="7" t="s">
        <v>33</v>
      </c>
      <c r="D66" s="8" t="s">
        <v>51</v>
      </c>
      <c r="E66" s="7" t="s">
        <v>11</v>
      </c>
      <c r="F66" s="7"/>
      <c r="G66" s="8"/>
      <c r="H66" s="8" t="s">
        <v>19</v>
      </c>
      <c r="I66" s="9">
        <v>1.4166666666666701E-2</v>
      </c>
      <c r="J66" s="12">
        <f t="shared" si="1"/>
        <v>29.411764705882284</v>
      </c>
    </row>
    <row r="67" spans="1:10" ht="15.6" x14ac:dyDescent="0.3">
      <c r="A67" s="7"/>
      <c r="B67" s="8">
        <v>68</v>
      </c>
      <c r="C67" s="7" t="s">
        <v>33</v>
      </c>
      <c r="D67" s="8" t="s">
        <v>52</v>
      </c>
      <c r="E67" s="7" t="s">
        <v>22</v>
      </c>
      <c r="F67" s="7"/>
      <c r="G67" s="8"/>
      <c r="H67" s="8" t="s">
        <v>19</v>
      </c>
      <c r="I67" s="9">
        <v>1.4479166666666699E-2</v>
      </c>
      <c r="J67" s="12">
        <f t="shared" si="1"/>
        <v>28.776978417266122</v>
      </c>
    </row>
    <row r="68" spans="1:10" ht="15.6" x14ac:dyDescent="0.3">
      <c r="A68" s="7"/>
      <c r="B68" s="13">
        <v>69</v>
      </c>
      <c r="C68" s="10" t="s">
        <v>46</v>
      </c>
      <c r="D68" s="13" t="s">
        <v>53</v>
      </c>
      <c r="E68" s="10" t="s">
        <v>25</v>
      </c>
      <c r="F68" s="10"/>
      <c r="G68" s="13"/>
      <c r="H68" s="13" t="s">
        <v>39</v>
      </c>
      <c r="I68" s="11">
        <v>1.46064814814815E-2</v>
      </c>
      <c r="J68" s="14">
        <f t="shared" si="1"/>
        <v>28.526148969889029</v>
      </c>
    </row>
    <row r="69" spans="1:10" ht="15.6" x14ac:dyDescent="0.3">
      <c r="A69" s="7"/>
      <c r="B69" s="8">
        <v>69</v>
      </c>
      <c r="C69" s="7" t="s">
        <v>48</v>
      </c>
      <c r="D69" s="8">
        <v>1996</v>
      </c>
      <c r="E69" s="7"/>
      <c r="F69" s="7"/>
      <c r="G69" s="8"/>
      <c r="H69" s="8"/>
      <c r="I69" s="9">
        <v>1.63425925925926E-2</v>
      </c>
      <c r="J69" s="12">
        <f t="shared" si="1"/>
        <v>25.49575070821529</v>
      </c>
    </row>
    <row r="70" spans="1:10" ht="15.6" x14ac:dyDescent="0.3">
      <c r="A70" s="7"/>
      <c r="B70" s="8">
        <v>70</v>
      </c>
      <c r="C70" s="7" t="s">
        <v>46</v>
      </c>
      <c r="D70" s="8" t="s">
        <v>54</v>
      </c>
      <c r="E70" s="7" t="s">
        <v>22</v>
      </c>
      <c r="F70" s="7"/>
      <c r="G70" s="8"/>
      <c r="H70" s="8" t="s">
        <v>19</v>
      </c>
      <c r="I70" s="9">
        <v>1.5069444444444399E-2</v>
      </c>
      <c r="J70" s="12">
        <f t="shared" si="1"/>
        <v>27.649769585253541</v>
      </c>
    </row>
    <row r="71" spans="1:10" ht="15.6" x14ac:dyDescent="0.3">
      <c r="A71" s="7"/>
      <c r="B71" s="13">
        <v>70</v>
      </c>
      <c r="C71" s="10" t="s">
        <v>33</v>
      </c>
      <c r="D71" s="13" t="s">
        <v>55</v>
      </c>
      <c r="E71" s="10" t="s">
        <v>22</v>
      </c>
      <c r="F71" s="10"/>
      <c r="G71" s="13"/>
      <c r="H71" s="13" t="s">
        <v>39</v>
      </c>
      <c r="I71" s="11">
        <v>1.4849537037037E-2</v>
      </c>
      <c r="J71" s="14">
        <f t="shared" si="1"/>
        <v>28.059236165237795</v>
      </c>
    </row>
    <row r="72" spans="1:10" ht="15.6" x14ac:dyDescent="0.3">
      <c r="A72" s="7"/>
      <c r="B72" s="13">
        <v>71</v>
      </c>
      <c r="C72" s="10" t="s">
        <v>46</v>
      </c>
      <c r="D72" s="13" t="s">
        <v>42</v>
      </c>
      <c r="E72" s="10" t="s">
        <v>22</v>
      </c>
      <c r="F72" s="10"/>
      <c r="G72" s="8"/>
      <c r="H72" s="8"/>
      <c r="I72" s="11">
        <v>1.50925925925926E-2</v>
      </c>
      <c r="J72" s="14">
        <f t="shared" si="1"/>
        <v>27.607361963190172</v>
      </c>
    </row>
    <row r="73" spans="1:10" ht="15.6" x14ac:dyDescent="0.3">
      <c r="A73" s="7"/>
      <c r="B73" s="8">
        <v>71</v>
      </c>
      <c r="C73" s="7" t="s">
        <v>56</v>
      </c>
      <c r="D73" s="8">
        <v>2001</v>
      </c>
      <c r="E73" s="7"/>
      <c r="F73" s="7"/>
      <c r="G73" s="8"/>
      <c r="H73" s="8"/>
      <c r="I73" s="9">
        <v>1.6631944444444401E-2</v>
      </c>
      <c r="J73" s="12">
        <f t="shared" si="1"/>
        <v>25.052192066805912</v>
      </c>
    </row>
    <row r="74" spans="1:10" ht="15.6" x14ac:dyDescent="0.3">
      <c r="A74" s="7"/>
      <c r="B74" s="13">
        <v>73</v>
      </c>
      <c r="C74" s="10" t="s">
        <v>46</v>
      </c>
      <c r="D74" s="13" t="s">
        <v>57</v>
      </c>
      <c r="E74" s="10" t="s">
        <v>11</v>
      </c>
      <c r="F74" s="10"/>
      <c r="G74" s="8"/>
      <c r="H74" s="8"/>
      <c r="I74" s="11">
        <v>1.5462962962963E-2</v>
      </c>
      <c r="J74" s="14">
        <f t="shared" si="1"/>
        <v>26.946107784431074</v>
      </c>
    </row>
    <row r="75" spans="1:10" ht="15.6" x14ac:dyDescent="0.3">
      <c r="A75" s="7"/>
      <c r="B75" s="8">
        <v>73</v>
      </c>
      <c r="C75" s="7" t="s">
        <v>56</v>
      </c>
      <c r="D75" s="8" t="s">
        <v>58</v>
      </c>
      <c r="E75" s="7" t="s">
        <v>11</v>
      </c>
      <c r="F75" s="7"/>
      <c r="G75" s="8"/>
      <c r="H75" s="8"/>
      <c r="I75" s="9">
        <v>1.63425925925926E-2</v>
      </c>
      <c r="J75" s="12">
        <f t="shared" ref="J75:J106" si="2">VALUE(SUBSTITUTE($A$11,"miles",""))/(I75*24)</f>
        <v>25.49575070821529</v>
      </c>
    </row>
    <row r="76" spans="1:10" ht="15.6" x14ac:dyDescent="0.3">
      <c r="A76" s="7"/>
      <c r="B76" s="8">
        <v>74</v>
      </c>
      <c r="C76" s="7" t="s">
        <v>46</v>
      </c>
      <c r="D76" s="8" t="s">
        <v>59</v>
      </c>
      <c r="E76" s="7" t="s">
        <v>11</v>
      </c>
      <c r="F76" s="7"/>
      <c r="G76" s="8"/>
      <c r="H76" s="8"/>
      <c r="I76" s="9">
        <v>1.5543981481481501E-2</v>
      </c>
      <c r="J76" s="12">
        <f t="shared" si="2"/>
        <v>26.805658972449706</v>
      </c>
    </row>
    <row r="77" spans="1:10" ht="15.6" x14ac:dyDescent="0.3">
      <c r="A77" s="7"/>
      <c r="B77" s="8">
        <v>75</v>
      </c>
      <c r="C77" s="7" t="s">
        <v>46</v>
      </c>
      <c r="D77" s="8" t="s">
        <v>60</v>
      </c>
      <c r="E77" s="7" t="s">
        <v>36</v>
      </c>
      <c r="F77" s="7"/>
      <c r="G77" s="9"/>
      <c r="H77" s="12" t="s">
        <v>19</v>
      </c>
      <c r="I77" s="9">
        <v>1.5532407407407399E-2</v>
      </c>
      <c r="J77" s="12">
        <f t="shared" si="2"/>
        <v>26.825633383010445</v>
      </c>
    </row>
    <row r="78" spans="1:10" ht="15.6" x14ac:dyDescent="0.3">
      <c r="A78" s="7"/>
      <c r="B78" s="13">
        <v>76</v>
      </c>
      <c r="C78" s="10" t="s">
        <v>46</v>
      </c>
      <c r="D78" s="13" t="s">
        <v>61</v>
      </c>
      <c r="E78" s="10" t="s">
        <v>11</v>
      </c>
      <c r="F78" s="10"/>
      <c r="G78" s="11" t="s">
        <v>43</v>
      </c>
      <c r="H78" s="14" t="s">
        <v>39</v>
      </c>
      <c r="I78" s="11">
        <v>1.5462962962963E-2</v>
      </c>
      <c r="J78" s="14">
        <f t="shared" si="2"/>
        <v>26.946107784431074</v>
      </c>
    </row>
    <row r="79" spans="1:10" ht="15.6" x14ac:dyDescent="0.3">
      <c r="A79" s="10"/>
      <c r="B79" s="8">
        <v>77</v>
      </c>
      <c r="C79" s="7" t="s">
        <v>56</v>
      </c>
      <c r="D79" s="8">
        <v>2008</v>
      </c>
      <c r="E79" s="7"/>
      <c r="F79" s="7"/>
      <c r="G79" s="8"/>
      <c r="H79" s="8"/>
      <c r="I79" s="9">
        <v>1.6990740740740699E-2</v>
      </c>
      <c r="J79" s="12">
        <f t="shared" si="2"/>
        <v>24.523160762942837</v>
      </c>
    </row>
    <row r="80" spans="1:10" ht="15.6" x14ac:dyDescent="0.3">
      <c r="A80" s="10"/>
      <c r="B80" s="13">
        <v>78</v>
      </c>
      <c r="C80" s="10" t="s">
        <v>56</v>
      </c>
      <c r="D80" s="13" t="s">
        <v>62</v>
      </c>
      <c r="E80" s="10" t="s">
        <v>11</v>
      </c>
      <c r="F80" s="10"/>
      <c r="G80" s="8"/>
      <c r="H80" s="8" t="s">
        <v>19</v>
      </c>
      <c r="I80" s="11">
        <v>1.6736111111111101E-2</v>
      </c>
      <c r="J80" s="14">
        <f t="shared" si="2"/>
        <v>24.896265560165993</v>
      </c>
    </row>
    <row r="81" spans="1:19" ht="15.6" x14ac:dyDescent="0.3">
      <c r="A81" s="10"/>
      <c r="B81" s="13">
        <v>79</v>
      </c>
      <c r="C81" s="10" t="s">
        <v>56</v>
      </c>
      <c r="D81" s="13" t="s">
        <v>63</v>
      </c>
      <c r="E81" s="10" t="s">
        <v>64</v>
      </c>
      <c r="F81" s="10"/>
      <c r="G81" s="8"/>
      <c r="H81" s="8"/>
      <c r="I81" s="11">
        <v>1.7083333333333301E-2</v>
      </c>
      <c r="J81" s="14">
        <f t="shared" si="2"/>
        <v>24.390243902439067</v>
      </c>
    </row>
    <row r="82" spans="1:19" ht="15.6" x14ac:dyDescent="0.3">
      <c r="A82" s="10"/>
      <c r="B82" s="13">
        <v>82</v>
      </c>
      <c r="C82" s="10" t="s">
        <v>56</v>
      </c>
      <c r="D82" s="13" t="s">
        <v>65</v>
      </c>
      <c r="E82" s="10" t="s">
        <v>64</v>
      </c>
      <c r="F82" s="10"/>
      <c r="G82" s="8"/>
      <c r="H82" s="8"/>
      <c r="I82" s="11">
        <v>1.7569444444444401E-2</v>
      </c>
      <c r="J82" s="14">
        <f t="shared" si="2"/>
        <v>23.715415019762904</v>
      </c>
    </row>
    <row r="83" spans="1:19" ht="9.75" customHeight="1" x14ac:dyDescent="0.3">
      <c r="A83" s="10"/>
      <c r="B83" s="8"/>
      <c r="C83" s="7"/>
      <c r="D83" s="8"/>
      <c r="E83" s="7"/>
      <c r="F83" s="7"/>
      <c r="G83" s="8"/>
      <c r="H83" s="8"/>
      <c r="I83" s="9"/>
      <c r="J83" s="9"/>
    </row>
    <row r="84" spans="1:19" ht="15.75" customHeight="1" x14ac:dyDescent="0.3">
      <c r="A84" s="10" t="s">
        <v>66</v>
      </c>
      <c r="B84" s="13">
        <v>56</v>
      </c>
      <c r="C84" s="10" t="s">
        <v>20</v>
      </c>
      <c r="D84" s="13" t="s">
        <v>67</v>
      </c>
      <c r="E84" s="10" t="s">
        <v>68</v>
      </c>
      <c r="F84" s="10"/>
      <c r="G84" s="8"/>
      <c r="H84" s="8"/>
      <c r="I84" s="11">
        <v>2.12037037037037E-2</v>
      </c>
      <c r="J84" s="14">
        <f t="shared" ref="J84:J99" si="3">VALUE(SUBSTITUTE($A$84,"miles",""))/(I84*24)</f>
        <v>29.475982532751093</v>
      </c>
    </row>
    <row r="85" spans="1:19" ht="15.6" x14ac:dyDescent="0.3">
      <c r="A85" s="10"/>
      <c r="B85" s="8">
        <v>65</v>
      </c>
      <c r="C85" s="7" t="s">
        <v>33</v>
      </c>
      <c r="D85" s="8" t="s">
        <v>45</v>
      </c>
      <c r="E85" s="7" t="s">
        <v>69</v>
      </c>
      <c r="F85" s="7"/>
      <c r="G85" s="8" t="s">
        <v>14</v>
      </c>
      <c r="H85" s="8" t="s">
        <v>19</v>
      </c>
      <c r="I85" s="9">
        <v>2.1851851851851799E-2</v>
      </c>
      <c r="J85" s="12">
        <f t="shared" si="3"/>
        <v>28.601694915254306</v>
      </c>
      <c r="N85" s="13"/>
      <c r="O85" s="10"/>
      <c r="P85" s="13"/>
      <c r="Q85" s="10"/>
      <c r="R85" s="10"/>
      <c r="S85" s="11"/>
    </row>
    <row r="86" spans="1:19" ht="15.6" x14ac:dyDescent="0.3">
      <c r="A86" s="10"/>
      <c r="B86" s="13">
        <v>66</v>
      </c>
      <c r="C86" s="10" t="s">
        <v>33</v>
      </c>
      <c r="D86" s="13" t="s">
        <v>70</v>
      </c>
      <c r="E86" s="10" t="s">
        <v>69</v>
      </c>
      <c r="F86" s="10"/>
      <c r="G86" s="13" t="s">
        <v>43</v>
      </c>
      <c r="H86" s="13" t="s">
        <v>39</v>
      </c>
      <c r="I86" s="11">
        <v>2.16087962962963E-2</v>
      </c>
      <c r="J86" s="14">
        <f t="shared" si="3"/>
        <v>28.9234065345474</v>
      </c>
    </row>
    <row r="87" spans="1:19" ht="15.6" x14ac:dyDescent="0.3">
      <c r="A87" s="10"/>
      <c r="B87" s="8">
        <v>66</v>
      </c>
      <c r="C87" s="7" t="s">
        <v>13</v>
      </c>
      <c r="D87" s="8" t="s">
        <v>45</v>
      </c>
      <c r="E87" s="7" t="s">
        <v>69</v>
      </c>
      <c r="F87" s="7"/>
      <c r="G87" s="8"/>
      <c r="H87" s="8" t="s">
        <v>19</v>
      </c>
      <c r="I87" s="9">
        <v>2.2662037037037001E-2</v>
      </c>
      <c r="J87" s="12">
        <f t="shared" si="3"/>
        <v>27.57916241062313</v>
      </c>
    </row>
    <row r="88" spans="1:19" ht="15.6" x14ac:dyDescent="0.3">
      <c r="A88" s="7"/>
      <c r="B88" s="8">
        <v>67</v>
      </c>
      <c r="C88" s="7" t="s">
        <v>33</v>
      </c>
      <c r="D88" s="8" t="s">
        <v>71</v>
      </c>
      <c r="E88" s="7" t="s">
        <v>69</v>
      </c>
      <c r="F88" s="7"/>
      <c r="G88" s="8"/>
      <c r="H88" s="8" t="s">
        <v>19</v>
      </c>
      <c r="I88" s="9">
        <v>2.2314814814814801E-2</v>
      </c>
      <c r="J88" s="12">
        <f t="shared" si="3"/>
        <v>28.00829875518674</v>
      </c>
    </row>
    <row r="89" spans="1:19" ht="15.6" x14ac:dyDescent="0.3">
      <c r="A89" s="10"/>
      <c r="B89" s="8">
        <v>67</v>
      </c>
      <c r="C89" s="7" t="s">
        <v>13</v>
      </c>
      <c r="D89" s="8" t="s">
        <v>70</v>
      </c>
      <c r="E89" s="7" t="s">
        <v>69</v>
      </c>
      <c r="F89" s="7"/>
      <c r="G89" s="8"/>
      <c r="H89" s="8" t="s">
        <v>19</v>
      </c>
      <c r="I89" s="9">
        <v>2.2557870370370402E-2</v>
      </c>
      <c r="J89" s="12">
        <f t="shared" si="3"/>
        <v>27.706516162134392</v>
      </c>
    </row>
    <row r="90" spans="1:19" ht="15.6" x14ac:dyDescent="0.3">
      <c r="A90" s="10"/>
      <c r="B90" s="13">
        <v>68</v>
      </c>
      <c r="C90" s="10" t="s">
        <v>33</v>
      </c>
      <c r="D90" s="13" t="s">
        <v>72</v>
      </c>
      <c r="E90" s="10" t="s">
        <v>68</v>
      </c>
      <c r="F90" s="10"/>
      <c r="G90" s="13" t="s">
        <v>43</v>
      </c>
      <c r="H90" s="13" t="s">
        <v>39</v>
      </c>
      <c r="I90" s="11">
        <v>2.1944444444444398E-2</v>
      </c>
      <c r="J90" s="14">
        <f t="shared" si="3"/>
        <v>28.481012658227911</v>
      </c>
    </row>
    <row r="91" spans="1:19" ht="15.6" x14ac:dyDescent="0.3">
      <c r="A91" s="7"/>
      <c r="B91" s="8">
        <v>68</v>
      </c>
      <c r="C91" s="7" t="s">
        <v>13</v>
      </c>
      <c r="D91" s="8" t="s">
        <v>71</v>
      </c>
      <c r="E91" s="7" t="s">
        <v>69</v>
      </c>
      <c r="F91" s="7"/>
      <c r="G91" s="8"/>
      <c r="H91" s="8"/>
      <c r="I91" s="9">
        <v>2.34722222222222E-2</v>
      </c>
      <c r="J91" s="12">
        <f t="shared" si="3"/>
        <v>26.627218934911269</v>
      </c>
    </row>
    <row r="92" spans="1:19" ht="15.6" x14ac:dyDescent="0.3">
      <c r="A92" s="7"/>
      <c r="B92" s="13">
        <v>69</v>
      </c>
      <c r="C92" s="10" t="s">
        <v>13</v>
      </c>
      <c r="D92" s="13" t="s">
        <v>72</v>
      </c>
      <c r="E92" s="10" t="s">
        <v>68</v>
      </c>
      <c r="F92" s="10"/>
      <c r="G92" s="13"/>
      <c r="H92" s="13" t="s">
        <v>39</v>
      </c>
      <c r="I92" s="11">
        <v>2.27777777777778E-2</v>
      </c>
      <c r="J92" s="14">
        <f t="shared" si="3"/>
        <v>27.439024390243876</v>
      </c>
    </row>
    <row r="93" spans="1:19" ht="15.6" x14ac:dyDescent="0.3">
      <c r="A93" s="10"/>
      <c r="B93" s="13">
        <v>70</v>
      </c>
      <c r="C93" s="10" t="s">
        <v>46</v>
      </c>
      <c r="D93" s="13" t="s">
        <v>45</v>
      </c>
      <c r="E93" s="10" t="s">
        <v>69</v>
      </c>
      <c r="F93" s="10"/>
      <c r="G93" s="8" t="s">
        <v>14</v>
      </c>
      <c r="H93" s="8" t="s">
        <v>19</v>
      </c>
      <c r="I93" s="11">
        <v>2.36111111111111E-2</v>
      </c>
      <c r="J93" s="14">
        <f t="shared" si="3"/>
        <v>26.47058823529413</v>
      </c>
    </row>
    <row r="94" spans="1:19" ht="15.6" x14ac:dyDescent="0.3">
      <c r="A94" s="7"/>
      <c r="B94" s="8">
        <v>71</v>
      </c>
      <c r="C94" s="7" t="s">
        <v>46</v>
      </c>
      <c r="D94" s="8" t="s">
        <v>73</v>
      </c>
      <c r="E94" s="7" t="s">
        <v>74</v>
      </c>
      <c r="F94" s="7"/>
      <c r="G94" s="8"/>
      <c r="H94" s="8"/>
      <c r="I94" s="9">
        <v>2.48148148148148E-2</v>
      </c>
      <c r="J94" s="12">
        <f t="shared" si="3"/>
        <v>25.18656716417912</v>
      </c>
    </row>
    <row r="95" spans="1:19" ht="15.6" x14ac:dyDescent="0.3">
      <c r="A95" s="7"/>
      <c r="B95" s="8">
        <v>73</v>
      </c>
      <c r="C95" s="7" t="s">
        <v>46</v>
      </c>
      <c r="D95" s="8" t="s">
        <v>75</v>
      </c>
      <c r="E95" s="7" t="s">
        <v>68</v>
      </c>
      <c r="F95" s="7"/>
      <c r="G95" s="8"/>
      <c r="H95" s="8"/>
      <c r="I95" s="9">
        <v>2.41203703703704E-2</v>
      </c>
      <c r="J95" s="12">
        <f t="shared" si="3"/>
        <v>25.911708253358896</v>
      </c>
    </row>
    <row r="96" spans="1:19" ht="15.6" x14ac:dyDescent="0.3">
      <c r="A96" s="7"/>
      <c r="B96" s="8">
        <v>74</v>
      </c>
      <c r="C96" s="7" t="s">
        <v>46</v>
      </c>
      <c r="D96" s="8" t="s">
        <v>76</v>
      </c>
      <c r="E96" s="7" t="s">
        <v>77</v>
      </c>
      <c r="F96" s="7"/>
      <c r="G96" s="8"/>
      <c r="H96" s="8"/>
      <c r="I96" s="9">
        <v>2.60532407407407E-2</v>
      </c>
      <c r="J96" s="12">
        <f t="shared" si="3"/>
        <v>23.989338071968049</v>
      </c>
    </row>
    <row r="97" spans="1:10" ht="15.6" x14ac:dyDescent="0.3">
      <c r="A97" s="7"/>
      <c r="B97" s="8">
        <v>75</v>
      </c>
      <c r="C97" s="7" t="s">
        <v>46</v>
      </c>
      <c r="D97" s="8" t="s">
        <v>78</v>
      </c>
      <c r="E97" s="7" t="s">
        <v>68</v>
      </c>
      <c r="F97" s="7"/>
      <c r="G97" s="9" t="s">
        <v>14</v>
      </c>
      <c r="H97" s="12" t="s">
        <v>19</v>
      </c>
      <c r="I97" s="9">
        <v>2.4062500000000001E-2</v>
      </c>
      <c r="J97" s="12">
        <f t="shared" si="3"/>
        <v>25.974025974025974</v>
      </c>
    </row>
    <row r="98" spans="1:10" ht="15.6" x14ac:dyDescent="0.3">
      <c r="A98" s="7"/>
      <c r="B98" s="13">
        <v>76</v>
      </c>
      <c r="C98" s="10" t="s">
        <v>46</v>
      </c>
      <c r="D98" s="11">
        <v>1.12805555555556</v>
      </c>
      <c r="E98" s="10" t="s">
        <v>68</v>
      </c>
      <c r="F98" s="10"/>
      <c r="G98" s="11" t="s">
        <v>43</v>
      </c>
      <c r="H98" s="14" t="s">
        <v>39</v>
      </c>
      <c r="I98" s="11">
        <v>2.39236111111111E-2</v>
      </c>
      <c r="J98" s="14">
        <f t="shared" si="3"/>
        <v>26.124818577648778</v>
      </c>
    </row>
    <row r="99" spans="1:10" ht="15.6" x14ac:dyDescent="0.3">
      <c r="A99" s="10"/>
      <c r="B99" s="13">
        <v>82</v>
      </c>
      <c r="C99" s="10" t="s">
        <v>56</v>
      </c>
      <c r="D99" s="13" t="s">
        <v>79</v>
      </c>
      <c r="E99" s="10" t="s">
        <v>69</v>
      </c>
      <c r="F99" s="10"/>
      <c r="G99" s="13" t="s">
        <v>43</v>
      </c>
      <c r="H99" s="13" t="s">
        <v>39</v>
      </c>
      <c r="I99" s="11">
        <v>2.7523148148148099E-2</v>
      </c>
      <c r="J99" s="14">
        <f t="shared" si="3"/>
        <v>22.708158116063959</v>
      </c>
    </row>
    <row r="100" spans="1:10" ht="9" customHeight="1" x14ac:dyDescent="0.3">
      <c r="A100" s="10"/>
      <c r="B100" s="8"/>
      <c r="C100" s="7"/>
      <c r="D100" s="8"/>
      <c r="E100" s="7"/>
      <c r="F100" s="7"/>
      <c r="G100" s="8"/>
      <c r="H100" s="8"/>
      <c r="I100" s="9"/>
      <c r="J100" s="9"/>
    </row>
    <row r="101" spans="1:10" ht="15.6" x14ac:dyDescent="0.3">
      <c r="A101" s="10" t="s">
        <v>80</v>
      </c>
      <c r="B101" s="8">
        <v>41</v>
      </c>
      <c r="C101" s="7" t="s">
        <v>81</v>
      </c>
      <c r="D101" s="8">
        <v>1993</v>
      </c>
      <c r="E101" s="7"/>
      <c r="F101" s="7"/>
      <c r="G101" s="8"/>
      <c r="H101" s="8"/>
      <c r="I101" s="9">
        <v>3.7037037037037E-2</v>
      </c>
      <c r="J101" s="12">
        <f t="shared" ref="J101:J132" si="4">VALUE(SUBSTITUTE($A$101,"miles",""))/(I101*24)</f>
        <v>28.125000000000028</v>
      </c>
    </row>
    <row r="102" spans="1:10" ht="15.6" x14ac:dyDescent="0.3">
      <c r="A102" s="10"/>
      <c r="B102" s="8">
        <v>41</v>
      </c>
      <c r="C102" s="7" t="s">
        <v>12</v>
      </c>
      <c r="D102" s="8">
        <v>1978</v>
      </c>
      <c r="E102" s="7"/>
      <c r="F102" s="7"/>
      <c r="G102" s="8"/>
      <c r="H102" s="8"/>
      <c r="I102" s="9">
        <v>3.8773148148148098E-2</v>
      </c>
      <c r="J102" s="12">
        <f t="shared" si="4"/>
        <v>26.865671641791078</v>
      </c>
    </row>
    <row r="103" spans="1:10" ht="15.6" x14ac:dyDescent="0.3">
      <c r="A103" s="10"/>
      <c r="B103" s="8">
        <v>42</v>
      </c>
      <c r="C103" s="7" t="s">
        <v>12</v>
      </c>
      <c r="D103" s="8">
        <v>1979</v>
      </c>
      <c r="E103" s="7"/>
      <c r="F103" s="7"/>
      <c r="G103" s="8"/>
      <c r="H103" s="8"/>
      <c r="I103" s="9">
        <v>4.1134259259259301E-2</v>
      </c>
      <c r="J103" s="12">
        <f t="shared" si="4"/>
        <v>25.32357906584128</v>
      </c>
    </row>
    <row r="104" spans="1:10" ht="15.6" x14ac:dyDescent="0.3">
      <c r="A104" s="10"/>
      <c r="B104" s="8">
        <v>46</v>
      </c>
      <c r="C104" s="7" t="s">
        <v>12</v>
      </c>
      <c r="D104" s="8">
        <v>1983</v>
      </c>
      <c r="E104" s="7"/>
      <c r="F104" s="7"/>
      <c r="G104" s="8"/>
      <c r="H104" s="8"/>
      <c r="I104" s="9">
        <v>4.3194444444444403E-2</v>
      </c>
      <c r="J104" s="12">
        <f t="shared" si="4"/>
        <v>24.115755627009669</v>
      </c>
    </row>
    <row r="105" spans="1:10" ht="15.6" x14ac:dyDescent="0.3">
      <c r="A105" s="10"/>
      <c r="B105" s="8">
        <v>48</v>
      </c>
      <c r="C105" s="7" t="s">
        <v>13</v>
      </c>
      <c r="D105" s="8">
        <v>2000</v>
      </c>
      <c r="E105" s="7" t="s">
        <v>82</v>
      </c>
      <c r="F105" s="7"/>
      <c r="G105" s="8" t="s">
        <v>14</v>
      </c>
      <c r="H105" s="8"/>
      <c r="I105" s="9">
        <v>3.47916666666667E-2</v>
      </c>
      <c r="J105" s="12">
        <f t="shared" si="4"/>
        <v>29.940119760479011</v>
      </c>
    </row>
    <row r="106" spans="1:10" ht="15.6" x14ac:dyDescent="0.3">
      <c r="A106" s="10"/>
      <c r="B106" s="8">
        <v>48</v>
      </c>
      <c r="C106" s="7" t="s">
        <v>16</v>
      </c>
      <c r="D106" s="8">
        <v>1984</v>
      </c>
      <c r="E106" s="7"/>
      <c r="F106" s="7"/>
      <c r="G106" s="8"/>
      <c r="H106" s="8"/>
      <c r="I106" s="9">
        <v>4.1319444444444402E-2</v>
      </c>
      <c r="J106" s="12">
        <f t="shared" si="4"/>
        <v>25.210084033613473</v>
      </c>
    </row>
    <row r="107" spans="1:10" ht="15.6" x14ac:dyDescent="0.3">
      <c r="A107" s="10"/>
      <c r="B107" s="8">
        <v>50</v>
      </c>
      <c r="C107" s="7" t="s">
        <v>15</v>
      </c>
      <c r="D107" s="8">
        <v>1990</v>
      </c>
      <c r="E107" s="7"/>
      <c r="F107" s="7"/>
      <c r="G107" s="8"/>
      <c r="H107" s="8"/>
      <c r="I107" s="9">
        <v>3.8344907407407397E-2</v>
      </c>
      <c r="J107" s="12">
        <f t="shared" si="4"/>
        <v>27.165710836100217</v>
      </c>
    </row>
    <row r="108" spans="1:10" ht="15.6" x14ac:dyDescent="0.3">
      <c r="A108" s="10"/>
      <c r="B108" s="8">
        <v>50</v>
      </c>
      <c r="C108" s="7" t="s">
        <v>16</v>
      </c>
      <c r="D108" s="8">
        <v>1985</v>
      </c>
      <c r="E108" s="7"/>
      <c r="F108" s="7"/>
      <c r="G108" s="8"/>
      <c r="H108" s="8"/>
      <c r="I108" s="9">
        <v>4.0740740740740702E-2</v>
      </c>
      <c r="J108" s="12">
        <f t="shared" si="4"/>
        <v>25.568181818181841</v>
      </c>
    </row>
    <row r="109" spans="1:10" ht="15.6" x14ac:dyDescent="0.3">
      <c r="A109" s="10"/>
      <c r="B109" s="8">
        <v>51</v>
      </c>
      <c r="C109" s="7" t="s">
        <v>15</v>
      </c>
      <c r="D109" s="8">
        <v>1991</v>
      </c>
      <c r="E109" s="7"/>
      <c r="F109" s="7"/>
      <c r="G109" s="8"/>
      <c r="H109" s="8"/>
      <c r="I109" s="9">
        <v>3.7962962962962997E-2</v>
      </c>
      <c r="J109" s="12">
        <f t="shared" si="4"/>
        <v>27.43902439024388</v>
      </c>
    </row>
    <row r="110" spans="1:10" ht="15.6" x14ac:dyDescent="0.3">
      <c r="A110" s="10"/>
      <c r="B110" s="8">
        <v>51</v>
      </c>
      <c r="C110" s="7" t="s">
        <v>16</v>
      </c>
      <c r="D110" s="8">
        <v>1987</v>
      </c>
      <c r="E110" s="7"/>
      <c r="F110" s="7"/>
      <c r="G110" s="8"/>
      <c r="H110" s="8"/>
      <c r="I110" s="9">
        <v>3.8657407407407397E-2</v>
      </c>
      <c r="J110" s="12">
        <f t="shared" si="4"/>
        <v>26.946107784431142</v>
      </c>
    </row>
    <row r="111" spans="1:10" ht="15.6" x14ac:dyDescent="0.3">
      <c r="A111" s="10"/>
      <c r="B111" s="8">
        <v>51</v>
      </c>
      <c r="C111" s="7" t="s">
        <v>16</v>
      </c>
      <c r="D111" s="8">
        <v>1986</v>
      </c>
      <c r="E111" s="7"/>
      <c r="F111" s="7"/>
      <c r="G111" s="8"/>
      <c r="H111" s="8"/>
      <c r="I111" s="9">
        <v>4.0277777777777801E-2</v>
      </c>
      <c r="J111" s="12">
        <f t="shared" si="4"/>
        <v>25.862068965517228</v>
      </c>
    </row>
    <row r="112" spans="1:10" ht="15.6" x14ac:dyDescent="0.3">
      <c r="A112" s="10"/>
      <c r="B112" s="8">
        <v>52</v>
      </c>
      <c r="C112" s="7" t="s">
        <v>16</v>
      </c>
      <c r="D112" s="8">
        <v>1987</v>
      </c>
      <c r="E112" s="7"/>
      <c r="F112" s="7"/>
      <c r="G112" s="8"/>
      <c r="H112" s="8"/>
      <c r="I112" s="9">
        <v>3.9965277777777801E-2</v>
      </c>
      <c r="J112" s="12">
        <f t="shared" si="4"/>
        <v>26.06429192006949</v>
      </c>
    </row>
    <row r="113" spans="1:10" ht="15.6" x14ac:dyDescent="0.3">
      <c r="A113" s="10"/>
      <c r="B113" s="8">
        <v>53</v>
      </c>
      <c r="C113" s="7" t="s">
        <v>15</v>
      </c>
      <c r="D113" s="8">
        <v>1993</v>
      </c>
      <c r="E113" s="7"/>
      <c r="F113" s="7"/>
      <c r="G113" s="8"/>
      <c r="H113" s="8"/>
      <c r="I113" s="9">
        <v>3.9641203703703699E-2</v>
      </c>
      <c r="J113" s="12">
        <f t="shared" si="4"/>
        <v>26.277372262773724</v>
      </c>
    </row>
    <row r="114" spans="1:10" ht="15.6" x14ac:dyDescent="0.3">
      <c r="A114" s="10"/>
      <c r="B114" s="8">
        <v>53</v>
      </c>
      <c r="C114" s="7" t="s">
        <v>16</v>
      </c>
      <c r="D114" s="8">
        <v>1988</v>
      </c>
      <c r="E114" s="7"/>
      <c r="F114" s="7"/>
      <c r="G114" s="8"/>
      <c r="H114" s="8"/>
      <c r="I114" s="9">
        <v>4.0937500000000002E-2</v>
      </c>
      <c r="J114" s="12">
        <f t="shared" si="4"/>
        <v>25.445292620865139</v>
      </c>
    </row>
    <row r="115" spans="1:10" ht="15.6" x14ac:dyDescent="0.3">
      <c r="A115" s="10"/>
      <c r="B115" s="8">
        <v>54</v>
      </c>
      <c r="C115" s="7" t="s">
        <v>13</v>
      </c>
      <c r="D115" s="8">
        <v>2006</v>
      </c>
      <c r="E115" s="7"/>
      <c r="F115" s="7"/>
      <c r="G115" s="8"/>
      <c r="H115" s="8"/>
      <c r="I115" s="9">
        <v>3.5324074074074098E-2</v>
      </c>
      <c r="J115" s="12">
        <f t="shared" si="4"/>
        <v>29.488859764089099</v>
      </c>
    </row>
    <row r="116" spans="1:10" ht="15.6" x14ac:dyDescent="0.3">
      <c r="A116" s="10"/>
      <c r="B116" s="8">
        <v>54</v>
      </c>
      <c r="C116" s="7" t="s">
        <v>13</v>
      </c>
      <c r="D116" s="8">
        <v>2006</v>
      </c>
      <c r="E116" s="7"/>
      <c r="F116" s="7"/>
      <c r="G116" s="8"/>
      <c r="H116" s="8"/>
      <c r="I116" s="9">
        <v>3.7083333333333302E-2</v>
      </c>
      <c r="J116" s="12">
        <f t="shared" si="4"/>
        <v>28.089887640449462</v>
      </c>
    </row>
    <row r="117" spans="1:10" ht="15.6" x14ac:dyDescent="0.3">
      <c r="A117" s="10"/>
      <c r="B117" s="8">
        <v>54</v>
      </c>
      <c r="C117" s="7" t="s">
        <v>15</v>
      </c>
      <c r="D117" s="8">
        <v>1994</v>
      </c>
      <c r="E117" s="7"/>
      <c r="F117" s="7"/>
      <c r="G117" s="8"/>
      <c r="H117" s="8"/>
      <c r="I117" s="9">
        <v>3.93402777777778E-2</v>
      </c>
      <c r="J117" s="12">
        <f t="shared" si="4"/>
        <v>26.478375992939082</v>
      </c>
    </row>
    <row r="118" spans="1:10" ht="15.6" x14ac:dyDescent="0.3">
      <c r="A118" s="10"/>
      <c r="B118" s="8">
        <v>54</v>
      </c>
      <c r="C118" s="7" t="s">
        <v>16</v>
      </c>
      <c r="D118" s="8">
        <v>1989</v>
      </c>
      <c r="E118" s="7"/>
      <c r="F118" s="7"/>
      <c r="G118" s="8"/>
      <c r="H118" s="8"/>
      <c r="I118" s="9">
        <v>4.1863425925925901E-2</v>
      </c>
      <c r="J118" s="12">
        <f t="shared" si="4"/>
        <v>24.882499308819479</v>
      </c>
    </row>
    <row r="119" spans="1:10" ht="15.6" x14ac:dyDescent="0.3">
      <c r="A119" s="10"/>
      <c r="B119" s="8">
        <v>55</v>
      </c>
      <c r="C119" s="7" t="s">
        <v>13</v>
      </c>
      <c r="D119" s="8">
        <v>2007</v>
      </c>
      <c r="E119" s="7"/>
      <c r="F119" s="7"/>
      <c r="G119" s="8"/>
      <c r="H119" s="8" t="s">
        <v>19</v>
      </c>
      <c r="I119" s="9">
        <v>3.5023148148148102E-2</v>
      </c>
      <c r="J119" s="12">
        <f t="shared" si="4"/>
        <v>29.742233972240623</v>
      </c>
    </row>
    <row r="120" spans="1:10" ht="15.6" x14ac:dyDescent="0.3">
      <c r="A120" s="10"/>
      <c r="B120" s="8">
        <v>55</v>
      </c>
      <c r="C120" s="7" t="s">
        <v>16</v>
      </c>
      <c r="D120" s="8">
        <v>1991</v>
      </c>
      <c r="E120" s="7"/>
      <c r="F120" s="7"/>
      <c r="G120" s="8"/>
      <c r="H120" s="8"/>
      <c r="I120" s="9">
        <v>4.0011574074074102E-2</v>
      </c>
      <c r="J120" s="12">
        <f t="shared" si="4"/>
        <v>26.034133641886012</v>
      </c>
    </row>
    <row r="121" spans="1:10" ht="15.6" x14ac:dyDescent="0.3">
      <c r="A121" s="10"/>
      <c r="B121" s="8">
        <v>55</v>
      </c>
      <c r="C121" s="7" t="s">
        <v>16</v>
      </c>
      <c r="D121" s="8">
        <v>1990</v>
      </c>
      <c r="E121" s="7"/>
      <c r="F121" s="7"/>
      <c r="G121" s="8"/>
      <c r="H121" s="8"/>
      <c r="I121" s="9">
        <v>4.05439814814815E-2</v>
      </c>
      <c r="J121" s="12">
        <f t="shared" si="4"/>
        <v>25.692263773908067</v>
      </c>
    </row>
    <row r="122" spans="1:10" ht="15.6" x14ac:dyDescent="0.3">
      <c r="A122" s="10"/>
      <c r="B122" s="8">
        <v>56</v>
      </c>
      <c r="C122" s="7" t="s">
        <v>13</v>
      </c>
      <c r="D122" s="8">
        <v>2008</v>
      </c>
      <c r="E122" s="7"/>
      <c r="F122" s="7"/>
      <c r="G122" s="8"/>
      <c r="H122" s="8"/>
      <c r="I122" s="9">
        <v>3.60300925925926E-2</v>
      </c>
      <c r="J122" s="12">
        <f t="shared" si="4"/>
        <v>28.91101831031159</v>
      </c>
    </row>
    <row r="123" spans="1:10" ht="15.6" x14ac:dyDescent="0.3">
      <c r="A123" s="10"/>
      <c r="B123" s="8">
        <v>56</v>
      </c>
      <c r="C123" s="7" t="s">
        <v>13</v>
      </c>
      <c r="D123" s="8">
        <v>2008</v>
      </c>
      <c r="E123" s="7"/>
      <c r="F123" s="7"/>
      <c r="G123" s="8"/>
      <c r="H123" s="8"/>
      <c r="I123" s="9">
        <v>3.6504629629629602E-2</v>
      </c>
      <c r="J123" s="12">
        <f t="shared" si="4"/>
        <v>28.53519340519977</v>
      </c>
    </row>
    <row r="124" spans="1:10" ht="15.6" x14ac:dyDescent="0.3">
      <c r="A124" s="7"/>
      <c r="B124" s="8">
        <v>56</v>
      </c>
      <c r="C124" s="7" t="s">
        <v>13</v>
      </c>
      <c r="D124" s="8">
        <v>2008</v>
      </c>
      <c r="E124" s="7"/>
      <c r="F124" s="7"/>
      <c r="G124" s="8"/>
      <c r="H124" s="8"/>
      <c r="I124" s="9">
        <v>3.7222222222222198E-2</v>
      </c>
      <c r="J124" s="12">
        <f t="shared" si="4"/>
        <v>27.985074626865689</v>
      </c>
    </row>
    <row r="125" spans="1:10" ht="15.6" x14ac:dyDescent="0.3">
      <c r="A125" s="10"/>
      <c r="B125" s="8">
        <v>57</v>
      </c>
      <c r="C125" s="7" t="s">
        <v>13</v>
      </c>
      <c r="D125" s="8">
        <v>2009</v>
      </c>
      <c r="E125" s="7"/>
      <c r="F125" s="7"/>
      <c r="G125" s="8"/>
      <c r="H125" s="8" t="s">
        <v>19</v>
      </c>
      <c r="I125" s="9">
        <v>3.5729166666666701E-2</v>
      </c>
      <c r="J125" s="12">
        <f t="shared" si="4"/>
        <v>29.154518950437289</v>
      </c>
    </row>
    <row r="126" spans="1:10" ht="15.6" x14ac:dyDescent="0.3">
      <c r="A126" s="10"/>
      <c r="B126" s="8">
        <v>57</v>
      </c>
      <c r="C126" s="7" t="s">
        <v>29</v>
      </c>
      <c r="D126" s="8">
        <v>1978</v>
      </c>
      <c r="E126" s="7"/>
      <c r="F126" s="7"/>
      <c r="G126" s="8"/>
      <c r="H126" s="8"/>
      <c r="I126" s="9">
        <v>4.3715277777777797E-2</v>
      </c>
      <c r="J126" s="12">
        <f t="shared" si="4"/>
        <v>23.828435266084181</v>
      </c>
    </row>
    <row r="127" spans="1:10" ht="15.6" x14ac:dyDescent="0.3">
      <c r="A127" s="10"/>
      <c r="B127" s="8">
        <v>58</v>
      </c>
      <c r="C127" s="7" t="s">
        <v>13</v>
      </c>
      <c r="D127" s="8">
        <v>2010</v>
      </c>
      <c r="E127" s="7"/>
      <c r="F127" s="7"/>
      <c r="G127" s="8"/>
      <c r="H127" s="8"/>
      <c r="I127" s="9">
        <v>3.58333333333333E-2</v>
      </c>
      <c r="J127" s="12">
        <f t="shared" si="4"/>
        <v>29.069767441860492</v>
      </c>
    </row>
    <row r="128" spans="1:10" ht="15.6" x14ac:dyDescent="0.3">
      <c r="A128" s="10"/>
      <c r="B128" s="8">
        <v>58</v>
      </c>
      <c r="C128" s="7" t="s">
        <v>13</v>
      </c>
      <c r="D128" s="8">
        <v>2010</v>
      </c>
      <c r="E128" s="7"/>
      <c r="F128" s="7"/>
      <c r="G128" s="8"/>
      <c r="H128" s="8"/>
      <c r="I128" s="9">
        <v>3.5983796296296298E-2</v>
      </c>
      <c r="J128" s="12">
        <f t="shared" si="4"/>
        <v>28.948214860083628</v>
      </c>
    </row>
    <row r="129" spans="1:10" ht="15.6" x14ac:dyDescent="0.3">
      <c r="A129" s="10"/>
      <c r="B129" s="8">
        <v>58</v>
      </c>
      <c r="C129" s="7" t="s">
        <v>29</v>
      </c>
      <c r="D129" s="8">
        <v>1979</v>
      </c>
      <c r="E129" s="7"/>
      <c r="F129" s="7"/>
      <c r="G129" s="8"/>
      <c r="H129" s="8"/>
      <c r="I129" s="9">
        <v>4.4710648148148201E-2</v>
      </c>
      <c r="J129" s="12">
        <f t="shared" si="4"/>
        <v>23.297954957287057</v>
      </c>
    </row>
    <row r="130" spans="1:10" ht="15.6" x14ac:dyDescent="0.3">
      <c r="A130" s="10"/>
      <c r="B130" s="13">
        <v>60</v>
      </c>
      <c r="C130" s="10" t="s">
        <v>13</v>
      </c>
      <c r="D130" s="13" t="s">
        <v>83</v>
      </c>
      <c r="E130" s="10" t="s">
        <v>84</v>
      </c>
      <c r="F130" s="10"/>
      <c r="G130" s="13" t="s">
        <v>14</v>
      </c>
      <c r="H130" s="13" t="s">
        <v>39</v>
      </c>
      <c r="I130" s="11">
        <v>3.4687500000000003E-2</v>
      </c>
      <c r="J130" s="14">
        <f t="shared" si="4"/>
        <v>30.03003003003003</v>
      </c>
    </row>
    <row r="131" spans="1:10" ht="15.6" x14ac:dyDescent="0.3">
      <c r="A131" s="10"/>
      <c r="B131" s="8">
        <v>60</v>
      </c>
      <c r="C131" s="7" t="s">
        <v>28</v>
      </c>
      <c r="D131" s="8">
        <v>1989</v>
      </c>
      <c r="E131" s="7"/>
      <c r="F131" s="7"/>
      <c r="G131" s="8"/>
      <c r="H131" s="8"/>
      <c r="I131" s="9">
        <v>4.4872685185185203E-2</v>
      </c>
      <c r="J131" s="12">
        <f t="shared" si="4"/>
        <v>23.213825122517399</v>
      </c>
    </row>
    <row r="132" spans="1:10" ht="15.6" x14ac:dyDescent="0.3">
      <c r="A132" s="10"/>
      <c r="B132" s="8">
        <v>60</v>
      </c>
      <c r="C132" s="7" t="s">
        <v>29</v>
      </c>
      <c r="D132" s="8">
        <v>1981</v>
      </c>
      <c r="E132" s="7"/>
      <c r="F132" s="7"/>
      <c r="G132" s="8"/>
      <c r="H132" s="8"/>
      <c r="I132" s="9">
        <v>4.9328703703703701E-2</v>
      </c>
      <c r="J132" s="12">
        <f t="shared" si="4"/>
        <v>21.116846550915067</v>
      </c>
    </row>
    <row r="133" spans="1:10" ht="15.6" x14ac:dyDescent="0.3">
      <c r="A133" s="10"/>
      <c r="B133" s="8">
        <v>61</v>
      </c>
      <c r="C133" s="7" t="s">
        <v>32</v>
      </c>
      <c r="D133" s="8">
        <v>1991</v>
      </c>
      <c r="E133" s="7"/>
      <c r="F133" s="7"/>
      <c r="G133" s="8"/>
      <c r="H133" s="8"/>
      <c r="I133" s="9">
        <v>4.0682870370370397E-2</v>
      </c>
      <c r="J133" s="12">
        <f t="shared" ref="J133:J164" si="5">VALUE(SUBSTITUTE($A$101,"miles",""))/(I133*24)</f>
        <v>25.604551920341379</v>
      </c>
    </row>
    <row r="134" spans="1:10" ht="15.6" x14ac:dyDescent="0.3">
      <c r="A134" s="10"/>
      <c r="B134" s="8">
        <v>61</v>
      </c>
      <c r="C134" s="7" t="s">
        <v>29</v>
      </c>
      <c r="D134" s="8">
        <v>1982</v>
      </c>
      <c r="E134" s="7"/>
      <c r="F134" s="7"/>
      <c r="G134" s="8"/>
      <c r="H134" s="8"/>
      <c r="I134" s="9">
        <v>4.6655092592592602E-2</v>
      </c>
      <c r="J134" s="12">
        <f t="shared" si="5"/>
        <v>22.326966013396174</v>
      </c>
    </row>
    <row r="135" spans="1:10" ht="15.6" x14ac:dyDescent="0.3">
      <c r="A135" s="10"/>
      <c r="B135" s="8">
        <v>62</v>
      </c>
      <c r="C135" s="7" t="s">
        <v>13</v>
      </c>
      <c r="D135" s="8" t="s">
        <v>85</v>
      </c>
      <c r="E135" s="7"/>
      <c r="F135" s="7"/>
      <c r="G135" s="8" t="s">
        <v>14</v>
      </c>
      <c r="H135" s="8" t="s">
        <v>19</v>
      </c>
      <c r="I135" s="9">
        <v>3.54861111111111E-2</v>
      </c>
      <c r="J135" s="12">
        <f t="shared" si="5"/>
        <v>29.354207436399228</v>
      </c>
    </row>
    <row r="136" spans="1:10" ht="15.6" x14ac:dyDescent="0.3">
      <c r="A136" s="10"/>
      <c r="B136" s="8">
        <v>62</v>
      </c>
      <c r="C136" s="7" t="s">
        <v>32</v>
      </c>
      <c r="D136" s="8">
        <v>1992</v>
      </c>
      <c r="E136" s="7"/>
      <c r="F136" s="7"/>
      <c r="G136" s="8"/>
      <c r="H136" s="8"/>
      <c r="I136" s="9">
        <v>4.2881944444444403E-2</v>
      </c>
      <c r="J136" s="12">
        <f t="shared" si="5"/>
        <v>24.291497975708527</v>
      </c>
    </row>
    <row r="137" spans="1:10" ht="15.6" x14ac:dyDescent="0.3">
      <c r="A137" s="10"/>
      <c r="B137" s="8">
        <v>62</v>
      </c>
      <c r="C137" s="7" t="s">
        <v>29</v>
      </c>
      <c r="D137" s="8">
        <v>1983</v>
      </c>
      <c r="E137" s="7"/>
      <c r="F137" s="7"/>
      <c r="G137" s="8"/>
      <c r="H137" s="8"/>
      <c r="I137" s="9">
        <v>4.6261574074074101E-2</v>
      </c>
      <c r="J137" s="12">
        <f t="shared" si="5"/>
        <v>22.516887665749302</v>
      </c>
    </row>
    <row r="138" spans="1:10" ht="15.6" x14ac:dyDescent="0.3">
      <c r="A138" s="10"/>
      <c r="B138" s="8">
        <v>63</v>
      </c>
      <c r="C138" s="7" t="s">
        <v>13</v>
      </c>
      <c r="D138" s="8" t="s">
        <v>86</v>
      </c>
      <c r="E138" s="7" t="s">
        <v>84</v>
      </c>
      <c r="F138" s="7"/>
      <c r="G138" s="8"/>
      <c r="H138" s="8"/>
      <c r="I138" s="9">
        <v>3.66203703703704E-2</v>
      </c>
      <c r="J138" s="12">
        <f t="shared" si="5"/>
        <v>28.445006321112494</v>
      </c>
    </row>
    <row r="139" spans="1:10" ht="15.6" x14ac:dyDescent="0.3">
      <c r="A139" s="10"/>
      <c r="B139" s="8">
        <v>63</v>
      </c>
      <c r="C139" s="7" t="s">
        <v>29</v>
      </c>
      <c r="D139" s="8">
        <v>1984</v>
      </c>
      <c r="E139" s="7"/>
      <c r="F139" s="7"/>
      <c r="G139" s="8"/>
      <c r="H139" s="8"/>
      <c r="I139" s="9">
        <v>4.8414351851851903E-2</v>
      </c>
      <c r="J139" s="12">
        <f t="shared" si="5"/>
        <v>21.515658618216566</v>
      </c>
    </row>
    <row r="140" spans="1:10" ht="15.6" x14ac:dyDescent="0.3">
      <c r="A140" s="10"/>
      <c r="B140" s="8">
        <v>64</v>
      </c>
      <c r="C140" s="7" t="s">
        <v>33</v>
      </c>
      <c r="D140" s="8" t="s">
        <v>53</v>
      </c>
      <c r="E140" s="7" t="s">
        <v>84</v>
      </c>
      <c r="F140" s="7"/>
      <c r="G140" s="8" t="s">
        <v>14</v>
      </c>
      <c r="H140" s="8" t="s">
        <v>19</v>
      </c>
      <c r="I140" s="9">
        <v>3.5925925925925903E-2</v>
      </c>
      <c r="J140" s="12">
        <f t="shared" si="5"/>
        <v>28.994845360824762</v>
      </c>
    </row>
    <row r="141" spans="1:10" ht="15.6" x14ac:dyDescent="0.3">
      <c r="A141" s="10"/>
      <c r="B141" s="8">
        <v>64</v>
      </c>
      <c r="C141" s="7" t="s">
        <v>13</v>
      </c>
      <c r="D141" s="8" t="s">
        <v>87</v>
      </c>
      <c r="E141" s="7" t="s">
        <v>84</v>
      </c>
      <c r="F141" s="7"/>
      <c r="G141" s="8"/>
      <c r="H141" s="8" t="s">
        <v>19</v>
      </c>
      <c r="I141" s="9">
        <v>3.6805555555555598E-2</v>
      </c>
      <c r="J141" s="12">
        <f t="shared" si="5"/>
        <v>28.301886792452795</v>
      </c>
    </row>
    <row r="142" spans="1:10" ht="15.6" x14ac:dyDescent="0.3">
      <c r="A142" s="10"/>
      <c r="B142" s="8">
        <v>64</v>
      </c>
      <c r="C142" s="7" t="s">
        <v>29</v>
      </c>
      <c r="D142" s="8">
        <v>1985</v>
      </c>
      <c r="E142" s="7"/>
      <c r="F142" s="7"/>
      <c r="G142" s="8"/>
      <c r="H142" s="8"/>
      <c r="I142" s="9">
        <v>4.8796296296296303E-2</v>
      </c>
      <c r="J142" s="12">
        <f t="shared" si="5"/>
        <v>21.347248576850092</v>
      </c>
    </row>
    <row r="143" spans="1:10" ht="15.6" x14ac:dyDescent="0.3">
      <c r="A143" s="10"/>
      <c r="B143" s="13">
        <v>65</v>
      </c>
      <c r="C143" s="10" t="s">
        <v>33</v>
      </c>
      <c r="D143" s="13" t="s">
        <v>88</v>
      </c>
      <c r="E143" s="10" t="s">
        <v>89</v>
      </c>
      <c r="F143" s="10"/>
      <c r="G143" s="13" t="s">
        <v>14</v>
      </c>
      <c r="H143" s="13" t="s">
        <v>39</v>
      </c>
      <c r="I143" s="11">
        <v>3.5150462962963001E-2</v>
      </c>
      <c r="J143" s="14">
        <f t="shared" si="5"/>
        <v>29.634507737899213</v>
      </c>
    </row>
    <row r="144" spans="1:10" ht="15.6" x14ac:dyDescent="0.3">
      <c r="A144" s="10"/>
      <c r="B144" s="8">
        <v>65</v>
      </c>
      <c r="C144" s="7" t="s">
        <v>33</v>
      </c>
      <c r="D144" s="8" t="s">
        <v>90</v>
      </c>
      <c r="E144" s="7" t="s">
        <v>84</v>
      </c>
      <c r="F144" s="7"/>
      <c r="G144" s="8"/>
      <c r="H144" s="8" t="s">
        <v>19</v>
      </c>
      <c r="I144" s="9">
        <v>3.7210648148148201E-2</v>
      </c>
      <c r="J144" s="12">
        <f t="shared" si="5"/>
        <v>27.993779160186584</v>
      </c>
    </row>
    <row r="145" spans="1:10" ht="15.6" x14ac:dyDescent="0.3">
      <c r="A145" s="10"/>
      <c r="B145" s="8">
        <v>65</v>
      </c>
      <c r="C145" s="7" t="s">
        <v>13</v>
      </c>
      <c r="D145" s="8" t="s">
        <v>91</v>
      </c>
      <c r="E145" s="7" t="s">
        <v>84</v>
      </c>
      <c r="F145" s="7"/>
      <c r="G145" s="8"/>
      <c r="H145" s="8" t="s">
        <v>19</v>
      </c>
      <c r="I145" s="9">
        <v>3.7604166666666702E-2</v>
      </c>
      <c r="J145" s="12">
        <f t="shared" si="5"/>
        <v>27.700831024930721</v>
      </c>
    </row>
    <row r="146" spans="1:10" ht="15.6" x14ac:dyDescent="0.3">
      <c r="A146" s="10"/>
      <c r="B146" s="8">
        <v>65</v>
      </c>
      <c r="C146" s="7" t="s">
        <v>29</v>
      </c>
      <c r="D146" s="8">
        <v>1986</v>
      </c>
      <c r="E146" s="7"/>
      <c r="F146" s="7"/>
      <c r="G146" s="8"/>
      <c r="H146" s="8"/>
      <c r="I146" s="9">
        <v>4.6550925925925898E-2</v>
      </c>
      <c r="J146" s="12">
        <f t="shared" si="5"/>
        <v>22.376926902038804</v>
      </c>
    </row>
    <row r="147" spans="1:10" ht="15.6" x14ac:dyDescent="0.3">
      <c r="A147" s="10"/>
      <c r="B147" s="8">
        <v>66</v>
      </c>
      <c r="C147" s="7" t="s">
        <v>33</v>
      </c>
      <c r="D147" s="8" t="s">
        <v>92</v>
      </c>
      <c r="E147" s="7" t="s">
        <v>89</v>
      </c>
      <c r="F147" s="7"/>
      <c r="G147" s="8"/>
      <c r="H147" s="8" t="s">
        <v>19</v>
      </c>
      <c r="I147" s="9">
        <v>3.66203703703704E-2</v>
      </c>
      <c r="J147" s="12">
        <f t="shared" si="5"/>
        <v>28.445006321112494</v>
      </c>
    </row>
    <row r="148" spans="1:10" ht="15.6" x14ac:dyDescent="0.3">
      <c r="A148" s="10"/>
      <c r="B148" s="8">
        <v>66</v>
      </c>
      <c r="C148" s="7" t="s">
        <v>13</v>
      </c>
      <c r="D148" s="8" t="s">
        <v>93</v>
      </c>
      <c r="E148" s="7" t="s">
        <v>84</v>
      </c>
      <c r="F148" s="7"/>
      <c r="G148" s="8"/>
      <c r="H148" s="8" t="s">
        <v>19</v>
      </c>
      <c r="I148" s="9">
        <v>3.6851851851851899E-2</v>
      </c>
      <c r="J148" s="12">
        <f t="shared" si="5"/>
        <v>28.266331658291421</v>
      </c>
    </row>
    <row r="149" spans="1:10" ht="15.6" x14ac:dyDescent="0.3">
      <c r="A149" s="10"/>
      <c r="B149" s="8">
        <v>66</v>
      </c>
      <c r="C149" s="7" t="s">
        <v>13</v>
      </c>
      <c r="D149" s="8" t="s">
        <v>94</v>
      </c>
      <c r="E149" s="7" t="s">
        <v>95</v>
      </c>
      <c r="F149" s="7"/>
      <c r="G149" s="8"/>
      <c r="H149" s="8" t="s">
        <v>19</v>
      </c>
      <c r="I149" s="9">
        <v>3.69675925925926E-2</v>
      </c>
      <c r="J149" s="12">
        <f t="shared" si="5"/>
        <v>28.177833437695675</v>
      </c>
    </row>
    <row r="150" spans="1:10" ht="15.6" x14ac:dyDescent="0.3">
      <c r="A150" s="10"/>
      <c r="B150" s="8">
        <v>66</v>
      </c>
      <c r="C150" s="7" t="s">
        <v>46</v>
      </c>
      <c r="D150" s="8" t="s">
        <v>96</v>
      </c>
      <c r="E150" s="7" t="s">
        <v>84</v>
      </c>
      <c r="F150" s="7"/>
      <c r="G150" s="8"/>
      <c r="H150" s="8"/>
      <c r="I150" s="9">
        <v>4.0462962962962999E-2</v>
      </c>
      <c r="J150" s="12">
        <f t="shared" si="5"/>
        <v>25.743707093821488</v>
      </c>
    </row>
    <row r="151" spans="1:10" ht="15.6" x14ac:dyDescent="0.3">
      <c r="A151" s="10"/>
      <c r="B151" s="8">
        <v>66</v>
      </c>
      <c r="C151" s="7" t="s">
        <v>32</v>
      </c>
      <c r="D151" s="8">
        <v>1996</v>
      </c>
      <c r="E151" s="7"/>
      <c r="F151" s="7"/>
      <c r="G151" s="8"/>
      <c r="H151" s="8"/>
      <c r="I151" s="9">
        <v>4.11574074074074E-2</v>
      </c>
      <c r="J151" s="12">
        <f t="shared" si="5"/>
        <v>25.309336332958384</v>
      </c>
    </row>
    <row r="152" spans="1:10" ht="15.6" x14ac:dyDescent="0.3">
      <c r="A152" s="10"/>
      <c r="B152" s="8">
        <v>66</v>
      </c>
      <c r="C152" s="7" t="s">
        <v>48</v>
      </c>
      <c r="D152" s="8">
        <v>1993</v>
      </c>
      <c r="E152" s="7"/>
      <c r="F152" s="7"/>
      <c r="G152" s="8"/>
      <c r="H152" s="8"/>
      <c r="I152" s="9">
        <v>4.1388888888888899E-2</v>
      </c>
      <c r="J152" s="12">
        <f t="shared" si="5"/>
        <v>25.16778523489932</v>
      </c>
    </row>
    <row r="153" spans="1:10" ht="15.6" x14ac:dyDescent="0.3">
      <c r="A153" s="7"/>
      <c r="B153" s="8">
        <v>67</v>
      </c>
      <c r="C153" s="7" t="s">
        <v>33</v>
      </c>
      <c r="D153" s="8" t="s">
        <v>97</v>
      </c>
      <c r="E153" s="7" t="s">
        <v>95</v>
      </c>
      <c r="F153" s="7"/>
      <c r="G153" s="8"/>
      <c r="H153" s="8" t="s">
        <v>19</v>
      </c>
      <c r="I153" s="9">
        <v>3.76157407407407E-2</v>
      </c>
      <c r="J153" s="12">
        <f t="shared" si="5"/>
        <v>27.692307692307722</v>
      </c>
    </row>
    <row r="154" spans="1:10" ht="15.6" x14ac:dyDescent="0.3">
      <c r="A154" s="7"/>
      <c r="B154" s="13">
        <v>68</v>
      </c>
      <c r="C154" s="10" t="s">
        <v>33</v>
      </c>
      <c r="D154" s="13" t="s">
        <v>98</v>
      </c>
      <c r="E154" s="10" t="s">
        <v>99</v>
      </c>
      <c r="F154" s="10"/>
      <c r="G154" s="13" t="s">
        <v>43</v>
      </c>
      <c r="H154" s="13" t="s">
        <v>39</v>
      </c>
      <c r="I154" s="11">
        <v>3.6180555555555598E-2</v>
      </c>
      <c r="J154" s="14">
        <f t="shared" si="5"/>
        <v>28.790786948176553</v>
      </c>
    </row>
    <row r="155" spans="1:10" ht="15.6" x14ac:dyDescent="0.3">
      <c r="A155" s="7"/>
      <c r="B155" s="8">
        <v>68</v>
      </c>
      <c r="C155" s="7" t="s">
        <v>33</v>
      </c>
      <c r="D155" s="8" t="s">
        <v>100</v>
      </c>
      <c r="E155" s="16" t="s">
        <v>95</v>
      </c>
      <c r="F155" s="7"/>
      <c r="G155" s="8"/>
      <c r="H155" s="8" t="s">
        <v>19</v>
      </c>
      <c r="I155" s="9">
        <v>3.7083333333333302E-2</v>
      </c>
      <c r="J155" s="12">
        <f t="shared" si="5"/>
        <v>28.089887640449462</v>
      </c>
    </row>
    <row r="156" spans="1:10" ht="15.6" x14ac:dyDescent="0.3">
      <c r="A156" s="10"/>
      <c r="B156" s="8">
        <v>68</v>
      </c>
      <c r="C156" s="7" t="s">
        <v>46</v>
      </c>
      <c r="D156" s="8" t="s">
        <v>101</v>
      </c>
      <c r="E156" s="7" t="s">
        <v>89</v>
      </c>
      <c r="F156" s="7"/>
      <c r="G156" s="8"/>
      <c r="H156" s="8"/>
      <c r="I156" s="9">
        <v>3.9560185185185198E-2</v>
      </c>
      <c r="J156" s="12">
        <f t="shared" si="5"/>
        <v>26.331187829139839</v>
      </c>
    </row>
    <row r="157" spans="1:10" ht="15.6" x14ac:dyDescent="0.3">
      <c r="A157" s="10"/>
      <c r="B157" s="8">
        <v>68</v>
      </c>
      <c r="C157" s="7" t="s">
        <v>56</v>
      </c>
      <c r="D157" s="8">
        <v>1999</v>
      </c>
      <c r="E157" s="17"/>
      <c r="F157" s="7"/>
      <c r="G157" s="8"/>
      <c r="H157" s="8"/>
      <c r="I157" s="9">
        <v>4.3310185185185202E-2</v>
      </c>
      <c r="J157" s="12">
        <f t="shared" si="5"/>
        <v>24.051309460181713</v>
      </c>
    </row>
    <row r="158" spans="1:10" ht="15.6" x14ac:dyDescent="0.3">
      <c r="A158" s="10"/>
      <c r="B158" s="8">
        <v>68</v>
      </c>
      <c r="C158" s="7" t="s">
        <v>48</v>
      </c>
      <c r="D158" s="8">
        <v>1995</v>
      </c>
      <c r="E158" s="7"/>
      <c r="F158" s="7"/>
      <c r="G158" s="8"/>
      <c r="H158" s="8"/>
      <c r="I158" s="9">
        <v>4.3379629629629601E-2</v>
      </c>
      <c r="J158" s="12">
        <f t="shared" si="5"/>
        <v>24.012806830309515</v>
      </c>
    </row>
    <row r="159" spans="1:10" ht="15.6" x14ac:dyDescent="0.3">
      <c r="A159" s="10"/>
      <c r="B159" s="13">
        <v>69</v>
      </c>
      <c r="C159" s="10" t="s">
        <v>33</v>
      </c>
      <c r="D159" s="13" t="s">
        <v>102</v>
      </c>
      <c r="E159" s="10" t="s">
        <v>103</v>
      </c>
      <c r="F159" s="10"/>
      <c r="G159" s="13"/>
      <c r="H159" s="13" t="s">
        <v>39</v>
      </c>
      <c r="I159" s="11">
        <v>3.71990740740741E-2</v>
      </c>
      <c r="J159" s="14">
        <f t="shared" si="5"/>
        <v>28.002489110143106</v>
      </c>
    </row>
    <row r="160" spans="1:10" ht="15.6" x14ac:dyDescent="0.3">
      <c r="A160" s="10"/>
      <c r="B160" s="8">
        <v>69</v>
      </c>
      <c r="C160" s="7" t="s">
        <v>33</v>
      </c>
      <c r="D160" s="8" t="s">
        <v>104</v>
      </c>
      <c r="E160" s="7" t="s">
        <v>103</v>
      </c>
      <c r="F160" s="7"/>
      <c r="G160" s="8"/>
      <c r="H160" s="8" t="s">
        <v>19</v>
      </c>
      <c r="I160" s="9">
        <v>3.7361111111111102E-2</v>
      </c>
      <c r="J160" s="12">
        <f t="shared" si="5"/>
        <v>27.881040892193315</v>
      </c>
    </row>
    <row r="161" spans="1:10" ht="15.6" x14ac:dyDescent="0.3">
      <c r="A161" s="10"/>
      <c r="B161" s="8">
        <v>69</v>
      </c>
      <c r="C161" s="7" t="s">
        <v>46</v>
      </c>
      <c r="D161" s="8" t="s">
        <v>105</v>
      </c>
      <c r="E161" s="7" t="s">
        <v>84</v>
      </c>
      <c r="F161" s="7"/>
      <c r="G161" s="8"/>
      <c r="H161" s="8" t="s">
        <v>19</v>
      </c>
      <c r="I161" s="9">
        <v>3.8032407407407397E-2</v>
      </c>
      <c r="J161" s="12">
        <f t="shared" si="5"/>
        <v>27.388922702373716</v>
      </c>
    </row>
    <row r="162" spans="1:10" ht="15.6" x14ac:dyDescent="0.3">
      <c r="A162" s="10"/>
      <c r="B162" s="8">
        <v>69</v>
      </c>
      <c r="C162" s="7" t="s">
        <v>56</v>
      </c>
      <c r="D162" s="8">
        <v>2000</v>
      </c>
      <c r="E162" s="7"/>
      <c r="F162" s="7"/>
      <c r="G162" s="8"/>
      <c r="H162" s="8"/>
      <c r="I162" s="9">
        <v>4.22916666666667E-2</v>
      </c>
      <c r="J162" s="12">
        <f t="shared" si="5"/>
        <v>24.630541871921164</v>
      </c>
    </row>
    <row r="163" spans="1:10" ht="15.6" x14ac:dyDescent="0.3">
      <c r="A163" s="10"/>
      <c r="B163" s="8">
        <v>69</v>
      </c>
      <c r="C163" s="7" t="s">
        <v>48</v>
      </c>
      <c r="D163" s="8">
        <v>1996</v>
      </c>
      <c r="E163" s="7"/>
      <c r="F163" s="7"/>
      <c r="G163" s="8"/>
      <c r="H163" s="8"/>
      <c r="I163" s="9">
        <v>4.4224537037037E-2</v>
      </c>
      <c r="J163" s="12">
        <f t="shared" si="5"/>
        <v>23.554043444124595</v>
      </c>
    </row>
    <row r="164" spans="1:10" ht="15.6" x14ac:dyDescent="0.3">
      <c r="A164" s="10"/>
      <c r="B164" s="13">
        <v>70</v>
      </c>
      <c r="C164" s="10" t="s">
        <v>46</v>
      </c>
      <c r="D164" s="13" t="s">
        <v>106</v>
      </c>
      <c r="E164" s="10" t="s">
        <v>84</v>
      </c>
      <c r="F164" s="10"/>
      <c r="G164" s="8"/>
      <c r="H164" s="8"/>
      <c r="I164" s="11">
        <v>3.8530092592592602E-2</v>
      </c>
      <c r="J164" s="14">
        <f t="shared" si="5"/>
        <v>27.035145689396209</v>
      </c>
    </row>
    <row r="165" spans="1:10" ht="15.6" x14ac:dyDescent="0.3">
      <c r="A165" s="10"/>
      <c r="B165" s="8">
        <v>70</v>
      </c>
      <c r="C165" s="7" t="s">
        <v>56</v>
      </c>
      <c r="D165" s="8" t="s">
        <v>107</v>
      </c>
      <c r="E165" s="7" t="s">
        <v>108</v>
      </c>
      <c r="F165" s="7"/>
      <c r="G165" s="8"/>
      <c r="H165" s="8"/>
      <c r="I165" s="9">
        <v>4.2256944444444403E-2</v>
      </c>
      <c r="J165" s="12">
        <f t="shared" ref="J165:J196" si="6">VALUE(SUBSTITUTE($A$101,"miles",""))/(I165*24)</f>
        <v>24.65078060805261</v>
      </c>
    </row>
    <row r="166" spans="1:10" ht="15.6" x14ac:dyDescent="0.3">
      <c r="A166" s="10"/>
      <c r="B166" s="13">
        <v>71</v>
      </c>
      <c r="C166" s="10" t="s">
        <v>46</v>
      </c>
      <c r="D166" s="13" t="s">
        <v>93</v>
      </c>
      <c r="E166" s="10" t="s">
        <v>84</v>
      </c>
      <c r="F166" s="10"/>
      <c r="G166" s="8"/>
      <c r="H166" s="8"/>
      <c r="I166" s="11">
        <v>3.87847222222222E-2</v>
      </c>
      <c r="J166" s="14">
        <f t="shared" si="6"/>
        <v>26.857654431512998</v>
      </c>
    </row>
    <row r="167" spans="1:10" ht="15.6" x14ac:dyDescent="0.3">
      <c r="A167" s="10"/>
      <c r="B167" s="8">
        <v>71</v>
      </c>
      <c r="C167" s="7" t="s">
        <v>56</v>
      </c>
      <c r="D167" s="8" t="s">
        <v>109</v>
      </c>
      <c r="E167" s="7" t="s">
        <v>108</v>
      </c>
      <c r="F167" s="7"/>
      <c r="G167" s="8"/>
      <c r="H167" s="8"/>
      <c r="I167" s="9">
        <v>4.22916666666667E-2</v>
      </c>
      <c r="J167" s="12">
        <f t="shared" si="6"/>
        <v>24.630541871921164</v>
      </c>
    </row>
    <row r="168" spans="1:10" ht="15.6" x14ac:dyDescent="0.3">
      <c r="A168" s="10"/>
      <c r="B168" s="8">
        <v>71</v>
      </c>
      <c r="C168" s="7" t="s">
        <v>48</v>
      </c>
      <c r="D168" s="8">
        <v>1998</v>
      </c>
      <c r="E168" s="7"/>
      <c r="F168" s="7"/>
      <c r="G168" s="8"/>
      <c r="H168" s="8"/>
      <c r="I168" s="9">
        <v>4.4421296296296299E-2</v>
      </c>
      <c r="J168" s="12">
        <f t="shared" si="6"/>
        <v>23.449713392391867</v>
      </c>
    </row>
    <row r="169" spans="1:10" ht="15.6" x14ac:dyDescent="0.3">
      <c r="A169" s="7"/>
      <c r="B169" s="8">
        <v>72</v>
      </c>
      <c r="C169" s="7" t="s">
        <v>46</v>
      </c>
      <c r="D169" s="18">
        <v>8.9120370370370405E-2</v>
      </c>
      <c r="E169" s="7" t="s">
        <v>110</v>
      </c>
      <c r="F169" s="7"/>
      <c r="G169" s="8"/>
      <c r="H169" s="8"/>
      <c r="I169" s="9">
        <v>4.2696759259259302E-2</v>
      </c>
      <c r="J169" s="12">
        <f t="shared" si="6"/>
        <v>24.396855516400084</v>
      </c>
    </row>
    <row r="170" spans="1:10" ht="15.6" x14ac:dyDescent="0.3">
      <c r="A170" s="7"/>
      <c r="B170" s="8">
        <v>72</v>
      </c>
      <c r="C170" s="7" t="s">
        <v>46</v>
      </c>
      <c r="D170" s="18">
        <v>8.9120370370370405E-2</v>
      </c>
      <c r="E170" s="7" t="s">
        <v>110</v>
      </c>
      <c r="F170" s="7"/>
      <c r="G170" s="8"/>
      <c r="H170" s="8"/>
      <c r="I170" s="9">
        <v>4.2696759259259302E-2</v>
      </c>
      <c r="J170" s="12">
        <f t="shared" si="6"/>
        <v>24.396855516400084</v>
      </c>
    </row>
    <row r="171" spans="1:10" ht="15.6" x14ac:dyDescent="0.3">
      <c r="A171" s="10"/>
      <c r="B171" s="8">
        <v>72</v>
      </c>
      <c r="C171" s="7" t="s">
        <v>56</v>
      </c>
      <c r="D171" s="8" t="s">
        <v>111</v>
      </c>
      <c r="E171" s="7" t="s">
        <v>84</v>
      </c>
      <c r="F171" s="7"/>
      <c r="G171" s="8"/>
      <c r="H171" s="8"/>
      <c r="I171" s="9">
        <v>4.2962962962963001E-2</v>
      </c>
      <c r="J171" s="12">
        <f t="shared" si="6"/>
        <v>24.245689655172395</v>
      </c>
    </row>
    <row r="172" spans="1:10" ht="15.6" x14ac:dyDescent="0.3">
      <c r="A172" s="7"/>
      <c r="B172" s="8">
        <v>73</v>
      </c>
      <c r="C172" s="7" t="s">
        <v>46</v>
      </c>
      <c r="D172" s="18" t="s">
        <v>112</v>
      </c>
      <c r="E172" s="7" t="s">
        <v>113</v>
      </c>
      <c r="F172" s="7"/>
      <c r="G172" s="8"/>
      <c r="H172" s="8"/>
      <c r="I172" s="9">
        <v>4.05439814814815E-2</v>
      </c>
      <c r="J172" s="12">
        <f t="shared" si="6"/>
        <v>25.692263773908067</v>
      </c>
    </row>
    <row r="173" spans="1:10" ht="15.6" x14ac:dyDescent="0.3">
      <c r="A173" s="10"/>
      <c r="B173" s="8">
        <v>73</v>
      </c>
      <c r="C173" s="7" t="s">
        <v>56</v>
      </c>
      <c r="D173" s="8">
        <v>2003</v>
      </c>
      <c r="E173" s="7"/>
      <c r="F173" s="7"/>
      <c r="G173" s="8"/>
      <c r="H173" s="8"/>
      <c r="I173" s="9">
        <v>4.5312499999999999E-2</v>
      </c>
      <c r="J173" s="12">
        <f t="shared" si="6"/>
        <v>22.988505747126439</v>
      </c>
    </row>
    <row r="174" spans="1:10" ht="15.6" x14ac:dyDescent="0.3">
      <c r="A174" s="10"/>
      <c r="B174" s="8">
        <v>73</v>
      </c>
      <c r="C174" s="7" t="s">
        <v>48</v>
      </c>
      <c r="D174" s="8">
        <v>2000</v>
      </c>
      <c r="E174" s="7"/>
      <c r="F174" s="7"/>
      <c r="G174" s="8"/>
      <c r="H174" s="8"/>
      <c r="I174" s="9">
        <v>4.5405092592592601E-2</v>
      </c>
      <c r="J174" s="12">
        <f t="shared" si="6"/>
        <v>22.94162630639816</v>
      </c>
    </row>
    <row r="175" spans="1:10" ht="15.6" x14ac:dyDescent="0.3">
      <c r="A175" s="7"/>
      <c r="B175" s="8">
        <v>74</v>
      </c>
      <c r="C175" s="7" t="s">
        <v>46</v>
      </c>
      <c r="D175" s="18">
        <v>0.58706018518518499</v>
      </c>
      <c r="E175" s="7" t="s">
        <v>114</v>
      </c>
      <c r="F175" s="7"/>
      <c r="G175" s="8"/>
      <c r="H175" s="8"/>
      <c r="I175" s="9">
        <v>4.0659722222222201E-2</v>
      </c>
      <c r="J175" s="12">
        <f t="shared" si="6"/>
        <v>25.619128949615725</v>
      </c>
    </row>
    <row r="176" spans="1:10" ht="15.6" x14ac:dyDescent="0.3">
      <c r="A176" s="10"/>
      <c r="B176" s="8">
        <v>74</v>
      </c>
      <c r="C176" s="7" t="s">
        <v>56</v>
      </c>
      <c r="D176" s="8">
        <v>2005</v>
      </c>
      <c r="E176" s="7"/>
      <c r="F176" s="7"/>
      <c r="G176" s="8"/>
      <c r="H176" s="8"/>
      <c r="I176" s="9">
        <v>4.41203703703704E-2</v>
      </c>
      <c r="J176" s="12">
        <f t="shared" si="6"/>
        <v>23.609653725078683</v>
      </c>
    </row>
    <row r="177" spans="1:10" ht="15.6" x14ac:dyDescent="0.3">
      <c r="A177" s="10"/>
      <c r="B177" s="8">
        <v>75</v>
      </c>
      <c r="C177" s="7" t="s">
        <v>46</v>
      </c>
      <c r="D177" s="18" t="s">
        <v>115</v>
      </c>
      <c r="E177" s="7" t="s">
        <v>84</v>
      </c>
      <c r="F177" s="7"/>
      <c r="G177" s="9"/>
      <c r="H177" s="12" t="s">
        <v>19</v>
      </c>
      <c r="I177" s="9">
        <v>4.0381944444444401E-2</v>
      </c>
      <c r="J177" s="12">
        <f t="shared" si="6"/>
        <v>25.795356835769589</v>
      </c>
    </row>
    <row r="178" spans="1:10" ht="15.6" x14ac:dyDescent="0.3">
      <c r="A178" s="7"/>
      <c r="B178" s="8">
        <v>75</v>
      </c>
      <c r="C178" s="7" t="s">
        <v>56</v>
      </c>
      <c r="D178" s="8" t="s">
        <v>116</v>
      </c>
      <c r="E178" s="7" t="s">
        <v>84</v>
      </c>
      <c r="F178" s="7"/>
      <c r="G178" s="8"/>
      <c r="H178" s="8"/>
      <c r="I178" s="9">
        <v>4.3240740740740698E-2</v>
      </c>
      <c r="J178" s="12">
        <f t="shared" si="6"/>
        <v>24.089935760171329</v>
      </c>
    </row>
    <row r="179" spans="1:10" ht="15.6" x14ac:dyDescent="0.3">
      <c r="A179" s="7"/>
      <c r="B179" s="13">
        <v>76</v>
      </c>
      <c r="C179" s="10" t="s">
        <v>46</v>
      </c>
      <c r="D179" s="13" t="s">
        <v>117</v>
      </c>
      <c r="E179" s="10" t="s">
        <v>99</v>
      </c>
      <c r="F179" s="10"/>
      <c r="G179" s="13"/>
      <c r="H179" s="13" t="s">
        <v>39</v>
      </c>
      <c r="I179" s="11">
        <v>4.0312500000000001E-2</v>
      </c>
      <c r="J179" s="14">
        <f t="shared" si="6"/>
        <v>25.839793281653748</v>
      </c>
    </row>
    <row r="180" spans="1:10" ht="15.6" x14ac:dyDescent="0.3">
      <c r="A180" s="10"/>
      <c r="B180" s="8">
        <v>76</v>
      </c>
      <c r="C180" s="7" t="s">
        <v>56</v>
      </c>
      <c r="D180" s="8" t="s">
        <v>118</v>
      </c>
      <c r="E180" s="7" t="s">
        <v>84</v>
      </c>
      <c r="F180" s="7"/>
      <c r="G180" s="8"/>
      <c r="H180" s="8" t="s">
        <v>19</v>
      </c>
      <c r="I180" s="9">
        <v>4.3865740740740698E-2</v>
      </c>
      <c r="J180" s="12">
        <f t="shared" si="6"/>
        <v>23.746701846965724</v>
      </c>
    </row>
    <row r="181" spans="1:10" ht="15.6" x14ac:dyDescent="0.3">
      <c r="A181" s="10"/>
      <c r="B181" s="8">
        <v>76</v>
      </c>
      <c r="C181" s="7" t="s">
        <v>56</v>
      </c>
      <c r="D181" s="8">
        <v>2007</v>
      </c>
      <c r="E181" s="7"/>
      <c r="F181" s="7"/>
      <c r="G181" s="8"/>
      <c r="H181" s="8"/>
      <c r="I181" s="9">
        <v>4.60185185185185E-2</v>
      </c>
      <c r="J181" s="12">
        <f t="shared" si="6"/>
        <v>22.635814889336029</v>
      </c>
    </row>
    <row r="182" spans="1:10" ht="15.6" x14ac:dyDescent="0.3">
      <c r="A182" s="10"/>
      <c r="B182" s="8">
        <v>77</v>
      </c>
      <c r="C182" s="7" t="s">
        <v>56</v>
      </c>
      <c r="D182" s="8">
        <v>2008</v>
      </c>
      <c r="E182" s="7"/>
      <c r="F182" s="7"/>
      <c r="G182" s="8"/>
      <c r="H182" s="8"/>
      <c r="I182" s="9">
        <v>4.5092592592592601E-2</v>
      </c>
      <c r="J182" s="12">
        <f t="shared" si="6"/>
        <v>23.1006160164271</v>
      </c>
    </row>
    <row r="183" spans="1:10" ht="15.6" x14ac:dyDescent="0.3">
      <c r="A183" s="10"/>
      <c r="B183" s="8">
        <v>78</v>
      </c>
      <c r="C183" s="7" t="s">
        <v>56</v>
      </c>
      <c r="D183" s="8">
        <v>2009</v>
      </c>
      <c r="E183" s="7"/>
      <c r="F183" s="7"/>
      <c r="G183" s="8"/>
      <c r="H183" s="8"/>
      <c r="I183" s="9">
        <v>4.4837962962963003E-2</v>
      </c>
      <c r="J183" s="12">
        <f t="shared" si="6"/>
        <v>23.231801755291666</v>
      </c>
    </row>
    <row r="184" spans="1:10" ht="15.6" x14ac:dyDescent="0.3">
      <c r="A184" s="10"/>
      <c r="B184" s="13">
        <v>79</v>
      </c>
      <c r="C184" s="10" t="s">
        <v>56</v>
      </c>
      <c r="D184" s="13" t="s">
        <v>119</v>
      </c>
      <c r="E184" s="10" t="s">
        <v>84</v>
      </c>
      <c r="F184" s="10"/>
      <c r="G184" s="8"/>
      <c r="H184" s="8"/>
      <c r="I184" s="11">
        <v>4.4594907407407403E-2</v>
      </c>
      <c r="J184" s="14">
        <f t="shared" si="6"/>
        <v>23.358422008824295</v>
      </c>
    </row>
    <row r="185" spans="1:10" ht="15.6" x14ac:dyDescent="0.3">
      <c r="A185" s="10"/>
      <c r="B185" s="8">
        <v>79</v>
      </c>
      <c r="C185" s="7" t="s">
        <v>56</v>
      </c>
      <c r="D185" s="8">
        <v>2010</v>
      </c>
      <c r="E185" s="7"/>
      <c r="F185" s="7"/>
      <c r="G185" s="8"/>
      <c r="H185" s="8"/>
      <c r="I185" s="9">
        <v>4.4675925925925897E-2</v>
      </c>
      <c r="J185" s="12">
        <f t="shared" si="6"/>
        <v>23.316062176165818</v>
      </c>
    </row>
    <row r="186" spans="1:10" ht="15.6" x14ac:dyDescent="0.3">
      <c r="A186" s="10"/>
      <c r="B186" s="8">
        <v>81</v>
      </c>
      <c r="C186" s="7" t="s">
        <v>29</v>
      </c>
      <c r="D186" s="8">
        <v>2002</v>
      </c>
      <c r="E186" s="7"/>
      <c r="F186" s="7"/>
      <c r="G186" s="8"/>
      <c r="H186" s="8" t="s">
        <v>19</v>
      </c>
      <c r="I186" s="9">
        <v>6.0694444444444398E-2</v>
      </c>
      <c r="J186" s="12">
        <f t="shared" si="6"/>
        <v>17.162471395881017</v>
      </c>
    </row>
    <row r="187" spans="1:10" ht="15.6" x14ac:dyDescent="0.3">
      <c r="A187" s="10"/>
      <c r="B187" s="13">
        <v>82</v>
      </c>
      <c r="C187" s="10" t="s">
        <v>56</v>
      </c>
      <c r="D187" s="13" t="s">
        <v>120</v>
      </c>
      <c r="E187" s="10" t="s">
        <v>84</v>
      </c>
      <c r="F187" s="10"/>
      <c r="G187" s="8"/>
      <c r="H187" s="8"/>
      <c r="I187" s="11">
        <v>4.56712962962963E-2</v>
      </c>
      <c r="J187" s="14">
        <f t="shared" si="6"/>
        <v>22.807906741003546</v>
      </c>
    </row>
    <row r="188" spans="1:10" ht="15.6" x14ac:dyDescent="0.3">
      <c r="A188" s="10"/>
      <c r="B188" s="8">
        <v>82</v>
      </c>
      <c r="C188" s="7" t="s">
        <v>29</v>
      </c>
      <c r="D188" s="8">
        <v>2003</v>
      </c>
      <c r="E188" s="7"/>
      <c r="F188" s="7"/>
      <c r="G188" s="8"/>
      <c r="H188" s="8" t="s">
        <v>19</v>
      </c>
      <c r="I188" s="9">
        <v>6.2025462962962997E-2</v>
      </c>
      <c r="J188" s="12">
        <f t="shared" si="6"/>
        <v>16.794178018286985</v>
      </c>
    </row>
    <row r="189" spans="1:10" ht="9" customHeight="1" x14ac:dyDescent="0.3">
      <c r="A189" s="10"/>
      <c r="B189" s="8"/>
      <c r="C189" s="7"/>
      <c r="D189" s="8"/>
      <c r="E189" s="7"/>
      <c r="F189" s="7"/>
      <c r="G189" s="8"/>
      <c r="H189" s="8"/>
      <c r="I189" s="9"/>
      <c r="J189" s="9"/>
    </row>
    <row r="190" spans="1:10" ht="15.6" x14ac:dyDescent="0.3">
      <c r="A190" s="10" t="s">
        <v>121</v>
      </c>
      <c r="B190" s="8">
        <v>44</v>
      </c>
      <c r="C190" s="7" t="s">
        <v>122</v>
      </c>
      <c r="D190" s="8">
        <v>1987</v>
      </c>
      <c r="E190" s="7"/>
      <c r="F190" s="7"/>
      <c r="G190" s="8"/>
      <c r="H190" s="8"/>
      <c r="I190" s="9">
        <v>4.8923611111111098E-2</v>
      </c>
      <c r="J190" s="12">
        <f t="shared" ref="J190:J221" si="7">VALUE(SUBSTITUTE($A$190,"miles",""))/(I190*24)</f>
        <v>25.550035486160404</v>
      </c>
    </row>
    <row r="191" spans="1:10" ht="15.6" x14ac:dyDescent="0.3">
      <c r="A191" s="10"/>
      <c r="B191" s="8">
        <v>46</v>
      </c>
      <c r="C191" s="7" t="s">
        <v>15</v>
      </c>
      <c r="D191" s="8">
        <v>1986</v>
      </c>
      <c r="E191" s="7"/>
      <c r="F191" s="7"/>
      <c r="G191" s="8"/>
      <c r="H191" s="8"/>
      <c r="I191" s="9">
        <v>4.9675925925925901E-2</v>
      </c>
      <c r="J191" s="12">
        <f t="shared" si="7"/>
        <v>25.163094128611384</v>
      </c>
    </row>
    <row r="192" spans="1:10" ht="15.6" x14ac:dyDescent="0.3">
      <c r="A192" s="10"/>
      <c r="B192" s="8">
        <v>48</v>
      </c>
      <c r="C192" s="7" t="s">
        <v>16</v>
      </c>
      <c r="D192" s="8">
        <v>1984</v>
      </c>
      <c r="E192" s="7"/>
      <c r="F192" s="7"/>
      <c r="G192" s="8"/>
      <c r="H192" s="8"/>
      <c r="I192" s="9">
        <v>5.49305555555556E-2</v>
      </c>
      <c r="J192" s="12">
        <f t="shared" si="7"/>
        <v>22.756005056889993</v>
      </c>
    </row>
    <row r="193" spans="1:10" ht="15.6" x14ac:dyDescent="0.3">
      <c r="A193" s="10"/>
      <c r="B193" s="8">
        <v>49</v>
      </c>
      <c r="C193" s="7" t="s">
        <v>15</v>
      </c>
      <c r="D193" s="8">
        <v>1989</v>
      </c>
      <c r="E193" s="7"/>
      <c r="F193" s="7"/>
      <c r="G193" s="8"/>
      <c r="H193" s="8" t="s">
        <v>19</v>
      </c>
      <c r="I193" s="9">
        <v>4.6111111111111103E-2</v>
      </c>
      <c r="J193" s="12">
        <f t="shared" si="7"/>
        <v>27.108433734939766</v>
      </c>
    </row>
    <row r="194" spans="1:10" ht="15.6" x14ac:dyDescent="0.3">
      <c r="A194" s="10"/>
      <c r="B194" s="8">
        <v>49</v>
      </c>
      <c r="C194" s="7" t="s">
        <v>16</v>
      </c>
      <c r="D194" s="8">
        <v>1985</v>
      </c>
      <c r="E194" s="7"/>
      <c r="F194" s="7"/>
      <c r="G194" s="8"/>
      <c r="H194" s="8"/>
      <c r="I194" s="9">
        <v>5.2731481481481497E-2</v>
      </c>
      <c r="J194" s="12">
        <f t="shared" si="7"/>
        <v>23.70500438981562</v>
      </c>
    </row>
    <row r="195" spans="1:10" ht="15.6" x14ac:dyDescent="0.3">
      <c r="A195" s="10"/>
      <c r="B195" s="8">
        <v>50</v>
      </c>
      <c r="C195" s="7" t="s">
        <v>16</v>
      </c>
      <c r="D195" s="8">
        <v>1986</v>
      </c>
      <c r="E195" s="7"/>
      <c r="F195" s="7"/>
      <c r="G195" s="8"/>
      <c r="H195" s="8"/>
      <c r="I195" s="9">
        <v>5.32407407407407E-2</v>
      </c>
      <c r="J195" s="12">
        <f t="shared" si="7"/>
        <v>23.478260869565236</v>
      </c>
    </row>
    <row r="196" spans="1:10" ht="15.6" x14ac:dyDescent="0.3">
      <c r="A196" s="10"/>
      <c r="B196" s="8">
        <v>51</v>
      </c>
      <c r="C196" s="7" t="s">
        <v>15</v>
      </c>
      <c r="D196" s="8">
        <v>1991</v>
      </c>
      <c r="E196" s="7"/>
      <c r="F196" s="7"/>
      <c r="G196" s="8"/>
      <c r="H196" s="8"/>
      <c r="I196" s="9">
        <v>4.7291666666666697E-2</v>
      </c>
      <c r="J196" s="12">
        <f t="shared" si="7"/>
        <v>26.431718061673994</v>
      </c>
    </row>
    <row r="197" spans="1:10" ht="15.6" x14ac:dyDescent="0.3">
      <c r="A197" s="10"/>
      <c r="B197" s="8">
        <v>51</v>
      </c>
      <c r="C197" s="7" t="s">
        <v>16</v>
      </c>
      <c r="D197" s="8">
        <v>1987</v>
      </c>
      <c r="E197" s="7"/>
      <c r="F197" s="7"/>
      <c r="G197" s="8"/>
      <c r="H197" s="8"/>
      <c r="I197" s="9">
        <v>4.9212962962963E-2</v>
      </c>
      <c r="J197" s="12">
        <f t="shared" si="7"/>
        <v>25.399811853245513</v>
      </c>
    </row>
    <row r="198" spans="1:10" ht="15.6" x14ac:dyDescent="0.3">
      <c r="A198" s="10"/>
      <c r="B198" s="8">
        <v>52</v>
      </c>
      <c r="C198" s="7" t="s">
        <v>12</v>
      </c>
      <c r="D198" s="8">
        <v>1989</v>
      </c>
      <c r="E198" s="7"/>
      <c r="F198" s="7"/>
      <c r="G198" s="8"/>
      <c r="H198" s="8"/>
      <c r="I198" s="9">
        <v>4.7812500000000001E-2</v>
      </c>
      <c r="J198" s="12">
        <f t="shared" si="7"/>
        <v>26.143790849673202</v>
      </c>
    </row>
    <row r="199" spans="1:10" ht="15.6" x14ac:dyDescent="0.3">
      <c r="A199" s="10"/>
      <c r="B199" s="8">
        <v>52</v>
      </c>
      <c r="C199" s="7" t="s">
        <v>123</v>
      </c>
      <c r="D199" s="8">
        <v>1988</v>
      </c>
      <c r="E199" s="7"/>
      <c r="F199" s="7"/>
      <c r="G199" s="8"/>
      <c r="H199" s="8"/>
      <c r="I199" s="9">
        <v>5.2083333333333301E-2</v>
      </c>
      <c r="J199" s="12">
        <f t="shared" si="7"/>
        <v>24.000000000000018</v>
      </c>
    </row>
    <row r="200" spans="1:10" ht="15.6" x14ac:dyDescent="0.3">
      <c r="A200" s="10"/>
      <c r="B200" s="8">
        <v>54</v>
      </c>
      <c r="C200" s="7" t="s">
        <v>13</v>
      </c>
      <c r="D200" s="8" t="s">
        <v>124</v>
      </c>
      <c r="E200" s="7" t="s">
        <v>125</v>
      </c>
      <c r="F200" s="7"/>
      <c r="G200" s="8"/>
      <c r="H200" s="8" t="s">
        <v>19</v>
      </c>
      <c r="I200" s="9">
        <v>4.3055555555555597E-2</v>
      </c>
      <c r="J200" s="12">
        <f t="shared" si="7"/>
        <v>29.0322580645161</v>
      </c>
    </row>
    <row r="201" spans="1:10" ht="15.6" x14ac:dyDescent="0.3">
      <c r="A201" s="10"/>
      <c r="B201" s="8">
        <v>54</v>
      </c>
      <c r="C201" s="7" t="s">
        <v>16</v>
      </c>
      <c r="D201" s="8">
        <v>1990</v>
      </c>
      <c r="E201" s="7"/>
      <c r="F201" s="7"/>
      <c r="G201" s="8"/>
      <c r="H201" s="8"/>
      <c r="I201" s="9">
        <v>5.39930555555556E-2</v>
      </c>
      <c r="J201" s="12">
        <f t="shared" si="7"/>
        <v>23.151125401929242</v>
      </c>
    </row>
    <row r="202" spans="1:10" ht="15.6" x14ac:dyDescent="0.3">
      <c r="A202" s="10"/>
      <c r="B202" s="8">
        <v>56</v>
      </c>
      <c r="C202" s="7" t="s">
        <v>13</v>
      </c>
      <c r="D202" s="8">
        <v>2008</v>
      </c>
      <c r="E202" s="7"/>
      <c r="F202" s="7"/>
      <c r="G202" s="8"/>
      <c r="H202" s="8" t="s">
        <v>19</v>
      </c>
      <c r="I202" s="9">
        <v>4.5104166666666702E-2</v>
      </c>
      <c r="J202" s="12">
        <f t="shared" si="7"/>
        <v>27.713625866050783</v>
      </c>
    </row>
    <row r="203" spans="1:10" ht="15.6" x14ac:dyDescent="0.3">
      <c r="A203" s="10"/>
      <c r="B203" s="8">
        <v>56</v>
      </c>
      <c r="C203" s="7" t="s">
        <v>16</v>
      </c>
      <c r="D203" s="8">
        <v>1991</v>
      </c>
      <c r="E203" s="7"/>
      <c r="F203" s="7"/>
      <c r="G203" s="8"/>
      <c r="H203" s="8"/>
      <c r="I203" s="9">
        <v>4.7835648148148197E-2</v>
      </c>
      <c r="J203" s="12">
        <f t="shared" si="7"/>
        <v>26.131139608032878</v>
      </c>
    </row>
    <row r="204" spans="1:10" ht="15.6" x14ac:dyDescent="0.3">
      <c r="A204" s="10"/>
      <c r="B204" s="8">
        <v>57</v>
      </c>
      <c r="C204" s="7" t="s">
        <v>13</v>
      </c>
      <c r="D204" s="8">
        <v>2009</v>
      </c>
      <c r="E204" s="7"/>
      <c r="F204" s="7"/>
      <c r="G204" s="8"/>
      <c r="H204" s="8" t="s">
        <v>19</v>
      </c>
      <c r="I204" s="9">
        <v>4.5347222222222199E-2</v>
      </c>
      <c r="J204" s="12">
        <f t="shared" si="7"/>
        <v>27.565084226646263</v>
      </c>
    </row>
    <row r="205" spans="1:10" ht="15.6" x14ac:dyDescent="0.3">
      <c r="A205" s="10"/>
      <c r="B205" s="13">
        <v>58</v>
      </c>
      <c r="C205" s="10" t="s">
        <v>23</v>
      </c>
      <c r="D205" s="13" t="s">
        <v>126</v>
      </c>
      <c r="E205" s="10" t="s">
        <v>127</v>
      </c>
      <c r="F205" s="10" t="s">
        <v>128</v>
      </c>
      <c r="G205" s="13"/>
      <c r="H205" s="13"/>
      <c r="I205" s="11">
        <v>4.2905092592592599E-2</v>
      </c>
      <c r="J205" s="14">
        <f t="shared" si="7"/>
        <v>29.134070677097377</v>
      </c>
    </row>
    <row r="206" spans="1:10" ht="15.6" x14ac:dyDescent="0.3">
      <c r="A206" s="10"/>
      <c r="B206" s="8">
        <v>58</v>
      </c>
      <c r="C206" s="7" t="s">
        <v>29</v>
      </c>
      <c r="D206" s="8">
        <v>1979</v>
      </c>
      <c r="E206" s="7"/>
      <c r="F206" s="7"/>
      <c r="G206" s="8"/>
      <c r="H206" s="8"/>
      <c r="I206" s="9">
        <v>5.7106481481481501E-2</v>
      </c>
      <c r="J206" s="12">
        <f t="shared" si="7"/>
        <v>21.888933927847582</v>
      </c>
    </row>
    <row r="207" spans="1:10" ht="15.6" x14ac:dyDescent="0.3">
      <c r="A207" s="10"/>
      <c r="B207" s="8">
        <v>60</v>
      </c>
      <c r="C207" s="7" t="s">
        <v>29</v>
      </c>
      <c r="D207" s="8">
        <v>1981</v>
      </c>
      <c r="E207" s="7"/>
      <c r="F207" s="7"/>
      <c r="G207" s="8"/>
      <c r="H207" s="8"/>
      <c r="I207" s="9">
        <v>5.8715277777777797E-2</v>
      </c>
      <c r="J207" s="12">
        <f t="shared" si="7"/>
        <v>21.289178001182727</v>
      </c>
    </row>
    <row r="208" spans="1:10" ht="15.6" x14ac:dyDescent="0.3">
      <c r="A208" s="10"/>
      <c r="B208" s="8">
        <v>61</v>
      </c>
      <c r="C208" s="7" t="s">
        <v>13</v>
      </c>
      <c r="D208" s="8" t="s">
        <v>129</v>
      </c>
      <c r="E208" s="7" t="s">
        <v>125</v>
      </c>
      <c r="F208" s="7"/>
      <c r="G208" s="8"/>
      <c r="H208" s="8"/>
      <c r="I208" s="9">
        <v>4.3703703703703703E-2</v>
      </c>
      <c r="J208" s="12">
        <f t="shared" si="7"/>
        <v>28.601694915254235</v>
      </c>
    </row>
    <row r="209" spans="1:10" ht="15.6" x14ac:dyDescent="0.3">
      <c r="A209" s="10"/>
      <c r="B209" s="8">
        <v>61</v>
      </c>
      <c r="C209" s="7" t="s">
        <v>29</v>
      </c>
      <c r="D209" s="8">
        <v>1982</v>
      </c>
      <c r="E209" s="7"/>
      <c r="F209" s="7"/>
      <c r="G209" s="8"/>
      <c r="H209" s="8"/>
      <c r="I209" s="9">
        <v>5.82638888888889E-2</v>
      </c>
      <c r="J209" s="12">
        <f t="shared" si="7"/>
        <v>21.454112038140639</v>
      </c>
    </row>
    <row r="210" spans="1:10" ht="15.6" x14ac:dyDescent="0.3">
      <c r="A210" s="10"/>
      <c r="B210" s="8">
        <v>62</v>
      </c>
      <c r="C210" s="7" t="s">
        <v>33</v>
      </c>
      <c r="D210" s="8" t="s">
        <v>130</v>
      </c>
      <c r="E210" s="7" t="s">
        <v>125</v>
      </c>
      <c r="F210" s="7"/>
      <c r="G210" s="8"/>
      <c r="H210" s="8" t="s">
        <v>19</v>
      </c>
      <c r="I210" s="9">
        <v>4.3935185185185202E-2</v>
      </c>
      <c r="J210" s="12">
        <f t="shared" si="7"/>
        <v>28.451001053740764</v>
      </c>
    </row>
    <row r="211" spans="1:10" ht="15.6" x14ac:dyDescent="0.3">
      <c r="A211" s="10"/>
      <c r="B211" s="8">
        <v>62</v>
      </c>
      <c r="C211" s="7" t="s">
        <v>32</v>
      </c>
      <c r="D211" s="8">
        <v>1992</v>
      </c>
      <c r="E211" s="7"/>
      <c r="F211" s="7"/>
      <c r="G211" s="8"/>
      <c r="H211" s="8"/>
      <c r="I211" s="9">
        <v>5.65162037037037E-2</v>
      </c>
      <c r="J211" s="12">
        <f t="shared" si="7"/>
        <v>22.117550686053654</v>
      </c>
    </row>
    <row r="212" spans="1:10" ht="15.6" x14ac:dyDescent="0.3">
      <c r="A212" s="10"/>
      <c r="B212" s="8">
        <v>62</v>
      </c>
      <c r="C212" s="7" t="s">
        <v>29</v>
      </c>
      <c r="D212" s="8">
        <v>1983</v>
      </c>
      <c r="E212" s="7"/>
      <c r="F212" s="7"/>
      <c r="G212" s="8"/>
      <c r="H212" s="8"/>
      <c r="I212" s="9">
        <v>5.6909722222222202E-2</v>
      </c>
      <c r="J212" s="12">
        <f t="shared" si="7"/>
        <v>21.964612568639424</v>
      </c>
    </row>
    <row r="213" spans="1:10" ht="15.6" x14ac:dyDescent="0.3">
      <c r="A213" s="10"/>
      <c r="B213" s="13">
        <v>63</v>
      </c>
      <c r="C213" s="10" t="s">
        <v>13</v>
      </c>
      <c r="D213" s="13" t="s">
        <v>130</v>
      </c>
      <c r="E213" s="10" t="s">
        <v>125</v>
      </c>
      <c r="F213" s="10"/>
      <c r="G213" s="13" t="s">
        <v>43</v>
      </c>
      <c r="H213" s="13" t="s">
        <v>39</v>
      </c>
      <c r="I213" s="11">
        <v>4.32986111111111E-2</v>
      </c>
      <c r="J213" s="14">
        <f t="shared" si="7"/>
        <v>28.869286287089022</v>
      </c>
    </row>
    <row r="214" spans="1:10" ht="15.6" x14ac:dyDescent="0.3">
      <c r="A214" s="10"/>
      <c r="B214" s="8">
        <v>63</v>
      </c>
      <c r="C214" s="7" t="s">
        <v>32</v>
      </c>
      <c r="D214" s="8">
        <v>1993</v>
      </c>
      <c r="E214" s="7"/>
      <c r="F214" s="7"/>
      <c r="G214" s="8"/>
      <c r="H214" s="8"/>
      <c r="I214" s="9">
        <v>5.4050925925925898E-2</v>
      </c>
      <c r="J214" s="12">
        <f t="shared" si="7"/>
        <v>23.126338329764465</v>
      </c>
    </row>
    <row r="215" spans="1:10" ht="15.6" x14ac:dyDescent="0.3">
      <c r="A215" s="10"/>
      <c r="B215" s="8">
        <v>64</v>
      </c>
      <c r="C215" s="7" t="s">
        <v>33</v>
      </c>
      <c r="D215" s="8" t="s">
        <v>131</v>
      </c>
      <c r="E215" s="7" t="s">
        <v>125</v>
      </c>
      <c r="F215" s="7"/>
      <c r="G215" s="8"/>
      <c r="H215" s="8" t="s">
        <v>19</v>
      </c>
      <c r="I215" s="9">
        <v>4.4050925925925903E-2</v>
      </c>
      <c r="J215" s="12">
        <f t="shared" si="7"/>
        <v>28.376248029427238</v>
      </c>
    </row>
    <row r="216" spans="1:10" ht="15.6" x14ac:dyDescent="0.3">
      <c r="A216" s="10"/>
      <c r="B216" s="13">
        <v>66</v>
      </c>
      <c r="C216" s="10" t="s">
        <v>13</v>
      </c>
      <c r="D216" s="19">
        <v>0.92312499999999997</v>
      </c>
      <c r="E216" s="10" t="s">
        <v>127</v>
      </c>
      <c r="F216" s="10"/>
      <c r="G216" s="13" t="s">
        <v>43</v>
      </c>
      <c r="H216" s="13" t="s">
        <v>39</v>
      </c>
      <c r="I216" s="11">
        <v>4.3738425925925903E-2</v>
      </c>
      <c r="J216" s="14">
        <f t="shared" si="7"/>
        <v>28.578989150568951</v>
      </c>
    </row>
    <row r="217" spans="1:10" ht="15.6" x14ac:dyDescent="0.3">
      <c r="A217" s="10"/>
      <c r="B217" s="8">
        <v>66</v>
      </c>
      <c r="C217" s="7" t="s">
        <v>46</v>
      </c>
      <c r="D217" s="8" t="s">
        <v>132</v>
      </c>
      <c r="E217" s="7" t="s">
        <v>133</v>
      </c>
      <c r="F217" s="7"/>
      <c r="G217" s="8"/>
      <c r="H217" s="8"/>
      <c r="I217" s="9">
        <v>4.9537037037036998E-2</v>
      </c>
      <c r="J217" s="12">
        <f t="shared" si="7"/>
        <v>25.233644859813104</v>
      </c>
    </row>
    <row r="218" spans="1:10" ht="15.6" x14ac:dyDescent="0.3">
      <c r="A218" s="10"/>
      <c r="B218" s="8">
        <v>66</v>
      </c>
      <c r="C218" s="7" t="s">
        <v>56</v>
      </c>
      <c r="D218" s="8">
        <v>1997</v>
      </c>
      <c r="E218" s="7"/>
      <c r="F218" s="7"/>
      <c r="G218" s="8"/>
      <c r="H218" s="8"/>
      <c r="I218" s="9">
        <v>5.4826388888888897E-2</v>
      </c>
      <c r="J218" s="12">
        <f t="shared" si="7"/>
        <v>22.799240025332487</v>
      </c>
    </row>
    <row r="219" spans="1:10" ht="15.6" x14ac:dyDescent="0.3">
      <c r="A219" s="10"/>
      <c r="B219" s="8">
        <v>67</v>
      </c>
      <c r="C219" s="7" t="s">
        <v>56</v>
      </c>
      <c r="D219" s="8">
        <v>1998</v>
      </c>
      <c r="E219" s="7"/>
      <c r="F219" s="7"/>
      <c r="G219" s="8"/>
      <c r="H219" s="8"/>
      <c r="I219" s="9">
        <v>5.28240740740741E-2</v>
      </c>
      <c r="J219" s="12">
        <f t="shared" si="7"/>
        <v>23.663453111305863</v>
      </c>
    </row>
    <row r="220" spans="1:10" ht="15.6" x14ac:dyDescent="0.3">
      <c r="A220" s="10"/>
      <c r="B220" s="13">
        <v>68</v>
      </c>
      <c r="C220" s="10" t="s">
        <v>33</v>
      </c>
      <c r="D220" s="19" t="s">
        <v>134</v>
      </c>
      <c r="E220" s="10" t="s">
        <v>135</v>
      </c>
      <c r="F220" s="10"/>
      <c r="G220" s="13" t="s">
        <v>43</v>
      </c>
      <c r="H220" s="13" t="s">
        <v>39</v>
      </c>
      <c r="I220" s="11">
        <v>4.3761574074074099E-2</v>
      </c>
      <c r="J220" s="14">
        <f t="shared" si="7"/>
        <v>28.563871991536615</v>
      </c>
    </row>
    <row r="221" spans="1:10" ht="15.6" x14ac:dyDescent="0.3">
      <c r="A221" s="10"/>
      <c r="B221" s="8">
        <v>68</v>
      </c>
      <c r="C221" s="7" t="s">
        <v>48</v>
      </c>
      <c r="D221" s="8">
        <v>1995</v>
      </c>
      <c r="E221" s="7"/>
      <c r="F221" s="7"/>
      <c r="G221" s="8"/>
      <c r="H221" s="8"/>
      <c r="I221" s="9">
        <v>5.5625000000000001E-2</v>
      </c>
      <c r="J221" s="12">
        <f t="shared" si="7"/>
        <v>22.471910112359552</v>
      </c>
    </row>
    <row r="222" spans="1:10" ht="15.6" x14ac:dyDescent="0.3">
      <c r="A222" s="10"/>
      <c r="B222" s="8">
        <v>69</v>
      </c>
      <c r="C222" s="7" t="s">
        <v>46</v>
      </c>
      <c r="D222" s="18" t="s">
        <v>131</v>
      </c>
      <c r="E222" s="7" t="s">
        <v>125</v>
      </c>
      <c r="F222" s="7"/>
      <c r="G222" s="8"/>
      <c r="H222" s="8"/>
      <c r="I222" s="9">
        <v>4.7615740740740702E-2</v>
      </c>
      <c r="J222" s="12">
        <f t="shared" ref="J222:J253" si="8">VALUE(SUBSTITUTE($A$190,"miles",""))/(I222*24)</f>
        <v>26.251823043266917</v>
      </c>
    </row>
    <row r="223" spans="1:10" ht="15.6" x14ac:dyDescent="0.3">
      <c r="A223" s="10"/>
      <c r="B223" s="8">
        <v>69</v>
      </c>
      <c r="C223" s="7" t="s">
        <v>56</v>
      </c>
      <c r="D223" s="8">
        <v>2000</v>
      </c>
      <c r="E223" s="7"/>
      <c r="F223" s="7"/>
      <c r="G223" s="8"/>
      <c r="H223" s="8"/>
      <c r="I223" s="9">
        <v>5.4907407407407398E-2</v>
      </c>
      <c r="J223" s="12">
        <f t="shared" si="8"/>
        <v>22.765598650927494</v>
      </c>
    </row>
    <row r="224" spans="1:10" ht="15.6" x14ac:dyDescent="0.3">
      <c r="A224" s="10"/>
      <c r="B224" s="13">
        <v>70</v>
      </c>
      <c r="C224" s="10" t="s">
        <v>46</v>
      </c>
      <c r="D224" s="19" t="s">
        <v>126</v>
      </c>
      <c r="E224" s="10" t="s">
        <v>127</v>
      </c>
      <c r="F224" s="10"/>
      <c r="G224" s="13" t="s">
        <v>43</v>
      </c>
      <c r="H224" s="13" t="s">
        <v>39</v>
      </c>
      <c r="I224" s="11">
        <v>4.44675925925926E-2</v>
      </c>
      <c r="J224" s="14">
        <f t="shared" si="8"/>
        <v>28.110359187922949</v>
      </c>
    </row>
    <row r="225" spans="1:10" ht="15.6" x14ac:dyDescent="0.3">
      <c r="A225" s="10"/>
      <c r="B225" s="8">
        <v>70</v>
      </c>
      <c r="C225" s="7" t="s">
        <v>56</v>
      </c>
      <c r="D225" s="18" t="s">
        <v>136</v>
      </c>
      <c r="E225" s="7" t="s">
        <v>137</v>
      </c>
      <c r="F225" s="7"/>
      <c r="G225" s="8"/>
      <c r="H225" s="8"/>
      <c r="I225" s="9">
        <v>5.2384259259259297E-2</v>
      </c>
      <c r="J225" s="12">
        <f t="shared" si="8"/>
        <v>23.862129916040637</v>
      </c>
    </row>
    <row r="226" spans="1:10" ht="15.6" x14ac:dyDescent="0.3">
      <c r="A226" s="10"/>
      <c r="B226" s="13">
        <v>71</v>
      </c>
      <c r="C226" s="10" t="s">
        <v>46</v>
      </c>
      <c r="D226" s="19" t="s">
        <v>138</v>
      </c>
      <c r="E226" s="10" t="s">
        <v>139</v>
      </c>
      <c r="F226" s="10"/>
      <c r="G226" s="8"/>
      <c r="H226" s="8"/>
      <c r="I226" s="11">
        <v>4.8564814814814797E-2</v>
      </c>
      <c r="J226" s="14">
        <f t="shared" si="8"/>
        <v>25.738798856053393</v>
      </c>
    </row>
    <row r="227" spans="1:10" ht="15.6" x14ac:dyDescent="0.3">
      <c r="A227" s="10"/>
      <c r="B227" s="8">
        <v>71</v>
      </c>
      <c r="C227" s="7" t="s">
        <v>56</v>
      </c>
      <c r="D227" s="8" t="s">
        <v>140</v>
      </c>
      <c r="E227" s="7" t="s">
        <v>137</v>
      </c>
      <c r="F227" s="7"/>
      <c r="G227" s="8"/>
      <c r="H227" s="8"/>
      <c r="I227" s="9">
        <v>5.4606481481481499E-2</v>
      </c>
      <c r="J227" s="12">
        <f t="shared" si="8"/>
        <v>22.89105553200508</v>
      </c>
    </row>
    <row r="228" spans="1:10" ht="15.6" x14ac:dyDescent="0.3">
      <c r="A228" s="7"/>
      <c r="B228" s="8">
        <v>72</v>
      </c>
      <c r="C228" s="7" t="s">
        <v>56</v>
      </c>
      <c r="D228" s="8" t="s">
        <v>141</v>
      </c>
      <c r="E228" s="7" t="s">
        <v>142</v>
      </c>
      <c r="F228" s="7"/>
      <c r="G228" s="8"/>
      <c r="H228" s="8"/>
      <c r="I228" s="9">
        <v>5.4664351851851797E-2</v>
      </c>
      <c r="J228" s="12">
        <f t="shared" si="8"/>
        <v>22.866821935210695</v>
      </c>
    </row>
    <row r="229" spans="1:10" ht="15.6" x14ac:dyDescent="0.3">
      <c r="A229" s="7"/>
      <c r="B229" s="13">
        <v>73</v>
      </c>
      <c r="C229" s="10" t="s">
        <v>46</v>
      </c>
      <c r="D229" s="19" t="s">
        <v>143</v>
      </c>
      <c r="E229" s="10" t="s">
        <v>144</v>
      </c>
      <c r="F229" s="10"/>
      <c r="G229" s="8"/>
      <c r="H229" s="8"/>
      <c r="I229" s="11">
        <v>4.8831018518518503E-2</v>
      </c>
      <c r="J229" s="14">
        <f t="shared" si="8"/>
        <v>25.598483052856135</v>
      </c>
    </row>
    <row r="230" spans="1:10" ht="15.6" x14ac:dyDescent="0.3">
      <c r="A230" s="10"/>
      <c r="B230" s="8">
        <v>73</v>
      </c>
      <c r="C230" s="7" t="s">
        <v>56</v>
      </c>
      <c r="D230" s="8">
        <v>2004</v>
      </c>
      <c r="E230" s="7"/>
      <c r="F230" s="7"/>
      <c r="G230" s="8"/>
      <c r="H230" s="8"/>
      <c r="I230" s="9">
        <v>5.8067129629629601E-2</v>
      </c>
      <c r="J230" s="12">
        <f t="shared" si="8"/>
        <v>21.526808849910314</v>
      </c>
    </row>
    <row r="231" spans="1:10" ht="15.6" x14ac:dyDescent="0.3">
      <c r="A231" s="10"/>
      <c r="B231" s="13">
        <v>74</v>
      </c>
      <c r="C231" s="10" t="s">
        <v>46</v>
      </c>
      <c r="D231" s="19" t="s">
        <v>145</v>
      </c>
      <c r="E231" s="10" t="s">
        <v>146</v>
      </c>
      <c r="F231" s="10"/>
      <c r="G231" s="8"/>
      <c r="H231" s="8"/>
      <c r="I231" s="11">
        <v>5.2094907407407402E-2</v>
      </c>
      <c r="J231" s="14">
        <f t="shared" si="8"/>
        <v>23.994667851588538</v>
      </c>
    </row>
    <row r="232" spans="1:10" ht="15.6" x14ac:dyDescent="0.3">
      <c r="A232" s="10"/>
      <c r="B232" s="8">
        <v>74</v>
      </c>
      <c r="C232" s="7" t="s">
        <v>56</v>
      </c>
      <c r="D232" s="8" t="s">
        <v>147</v>
      </c>
      <c r="E232" s="7" t="s">
        <v>125</v>
      </c>
      <c r="F232" s="7"/>
      <c r="G232" s="8"/>
      <c r="H232" s="8"/>
      <c r="I232" s="9">
        <v>5.51967592592593E-2</v>
      </c>
      <c r="J232" s="12">
        <f t="shared" si="8"/>
        <v>22.646257076955319</v>
      </c>
    </row>
    <row r="233" spans="1:10" ht="15.6" x14ac:dyDescent="0.3">
      <c r="A233" s="10"/>
      <c r="B233" s="8">
        <v>75</v>
      </c>
      <c r="C233" s="7" t="s">
        <v>56</v>
      </c>
      <c r="D233" s="8">
        <v>2006</v>
      </c>
      <c r="E233" s="7"/>
      <c r="F233" s="7"/>
      <c r="G233" s="8"/>
      <c r="H233" s="8"/>
      <c r="I233" s="9">
        <v>5.58912037037037E-2</v>
      </c>
      <c r="J233" s="12">
        <f t="shared" si="8"/>
        <v>22.364878856906195</v>
      </c>
    </row>
    <row r="234" spans="1:10" ht="15.6" x14ac:dyDescent="0.3">
      <c r="A234" s="10"/>
      <c r="B234" s="8">
        <v>76</v>
      </c>
      <c r="C234" s="7" t="s">
        <v>56</v>
      </c>
      <c r="D234" s="8" t="s">
        <v>148</v>
      </c>
      <c r="E234" s="7" t="s">
        <v>125</v>
      </c>
      <c r="F234" s="7"/>
      <c r="G234" s="8"/>
      <c r="H234" s="8"/>
      <c r="I234" s="9">
        <v>5.5393518518518502E-2</v>
      </c>
      <c r="J234" s="12">
        <f t="shared" si="8"/>
        <v>22.565816966151282</v>
      </c>
    </row>
    <row r="235" spans="1:10" ht="15.6" x14ac:dyDescent="0.3">
      <c r="A235" s="10"/>
      <c r="B235" s="8">
        <v>76</v>
      </c>
      <c r="C235" s="10" t="s">
        <v>46</v>
      </c>
      <c r="D235" s="13" t="s">
        <v>149</v>
      </c>
      <c r="E235" s="10" t="s">
        <v>150</v>
      </c>
      <c r="F235" s="10"/>
      <c r="G235" s="13"/>
      <c r="H235" s="13"/>
      <c r="I235" s="11">
        <v>5.4988425925925899E-2</v>
      </c>
      <c r="J235" s="14">
        <f t="shared" si="8"/>
        <v>22.732056409177027</v>
      </c>
    </row>
    <row r="236" spans="1:10" ht="15.6" x14ac:dyDescent="0.3">
      <c r="A236" s="10"/>
      <c r="B236" s="13">
        <v>77</v>
      </c>
      <c r="C236" s="10" t="s">
        <v>56</v>
      </c>
      <c r="D236" s="13" t="s">
        <v>151</v>
      </c>
      <c r="E236" s="10" t="s">
        <v>125</v>
      </c>
      <c r="F236" s="10"/>
      <c r="G236" s="8"/>
      <c r="H236" s="8"/>
      <c r="I236" s="11">
        <v>5.6875000000000002E-2</v>
      </c>
      <c r="J236" s="14">
        <f t="shared" si="8"/>
        <v>21.978021978021978</v>
      </c>
    </row>
    <row r="237" spans="1:10" ht="15.6" x14ac:dyDescent="0.3">
      <c r="A237" s="10"/>
      <c r="B237" s="8">
        <v>78</v>
      </c>
      <c r="C237" s="7" t="s">
        <v>56</v>
      </c>
      <c r="D237" s="8">
        <v>2009</v>
      </c>
      <c r="E237" s="7"/>
      <c r="F237" s="7"/>
      <c r="G237" s="8"/>
      <c r="H237" s="8"/>
      <c r="I237" s="9">
        <v>5.7569444444444402E-2</v>
      </c>
      <c r="J237" s="12">
        <f t="shared" si="8"/>
        <v>21.712907117008459</v>
      </c>
    </row>
    <row r="238" spans="1:10" ht="15.6" x14ac:dyDescent="0.3">
      <c r="A238" s="10"/>
      <c r="B238" s="13">
        <v>83</v>
      </c>
      <c r="C238" s="10" t="s">
        <v>56</v>
      </c>
      <c r="D238" s="13" t="s">
        <v>129</v>
      </c>
      <c r="E238" s="10" t="s">
        <v>125</v>
      </c>
      <c r="F238" s="10"/>
      <c r="G238" s="8"/>
      <c r="H238" s="8"/>
      <c r="I238" s="11">
        <v>5.6909722222222202E-2</v>
      </c>
      <c r="J238" s="14">
        <f t="shared" si="8"/>
        <v>21.964612568639424</v>
      </c>
    </row>
    <row r="239" spans="1:10" ht="9" customHeight="1" x14ac:dyDescent="0.3">
      <c r="A239" s="10"/>
      <c r="B239" s="8"/>
      <c r="C239" s="7"/>
      <c r="D239" s="8"/>
      <c r="E239" s="7"/>
      <c r="F239" s="7"/>
      <c r="G239" s="8"/>
      <c r="H239" s="8"/>
      <c r="I239" s="9"/>
      <c r="J239" s="9"/>
    </row>
    <row r="240" spans="1:10" ht="15.6" x14ac:dyDescent="0.3">
      <c r="A240" s="10" t="s">
        <v>152</v>
      </c>
      <c r="B240" s="8">
        <v>42</v>
      </c>
      <c r="C240" s="7" t="s">
        <v>12</v>
      </c>
      <c r="D240" s="8">
        <v>1979</v>
      </c>
      <c r="E240" s="7"/>
      <c r="F240" s="7"/>
      <c r="G240" s="8"/>
      <c r="H240" s="8"/>
      <c r="I240" s="9">
        <v>8.1782407407407401E-2</v>
      </c>
      <c r="J240" s="12">
        <f t="shared" ref="J240:J271" si="9">VALUE(SUBSTITUTE($A$240,"miles",""))/(I240*24)</f>
        <v>25.474101330314181</v>
      </c>
    </row>
    <row r="241" spans="1:10" ht="15.6" x14ac:dyDescent="0.3">
      <c r="A241" s="10"/>
      <c r="B241" s="8">
        <v>47</v>
      </c>
      <c r="C241" s="7" t="s">
        <v>153</v>
      </c>
      <c r="D241" s="8">
        <v>1987</v>
      </c>
      <c r="E241" s="7"/>
      <c r="F241" s="7"/>
      <c r="G241" s="8"/>
      <c r="H241" s="8"/>
      <c r="I241" s="9">
        <v>8.7650462962962999E-2</v>
      </c>
      <c r="J241" s="12">
        <f t="shared" si="9"/>
        <v>23.768651789251276</v>
      </c>
    </row>
    <row r="242" spans="1:10" ht="15.6" x14ac:dyDescent="0.3">
      <c r="A242" s="10"/>
      <c r="B242" s="8">
        <v>48</v>
      </c>
      <c r="C242" s="7" t="s">
        <v>13</v>
      </c>
      <c r="D242" s="8">
        <v>2000</v>
      </c>
      <c r="E242" s="7" t="s">
        <v>154</v>
      </c>
      <c r="F242" s="7"/>
      <c r="G242" s="8" t="s">
        <v>14</v>
      </c>
      <c r="H242" s="8"/>
      <c r="I242" s="9">
        <v>7.2222222222222202E-2</v>
      </c>
      <c r="J242" s="12">
        <f t="shared" si="9"/>
        <v>28.846153846153854</v>
      </c>
    </row>
    <row r="243" spans="1:10" ht="15.6" x14ac:dyDescent="0.3">
      <c r="A243" s="10"/>
      <c r="B243" s="8">
        <v>48</v>
      </c>
      <c r="C243" s="7" t="s">
        <v>13</v>
      </c>
      <c r="D243" s="8">
        <v>2000</v>
      </c>
      <c r="E243" s="7" t="s">
        <v>155</v>
      </c>
      <c r="F243" s="7"/>
      <c r="G243" s="8" t="s">
        <v>14</v>
      </c>
      <c r="H243" s="8"/>
      <c r="I243" s="9">
        <v>7.2708333333333305E-2</v>
      </c>
      <c r="J243" s="12">
        <f t="shared" si="9"/>
        <v>28.653295128939842</v>
      </c>
    </row>
    <row r="244" spans="1:10" ht="15.6" x14ac:dyDescent="0.3">
      <c r="A244" s="10"/>
      <c r="B244" s="8">
        <v>48</v>
      </c>
      <c r="C244" s="7" t="s">
        <v>15</v>
      </c>
      <c r="D244" s="8">
        <v>1988</v>
      </c>
      <c r="E244" s="7"/>
      <c r="F244" s="7"/>
      <c r="G244" s="8"/>
      <c r="H244" s="8"/>
      <c r="I244" s="9">
        <v>8.9270833333333299E-2</v>
      </c>
      <c r="J244" s="12">
        <f t="shared" si="9"/>
        <v>23.337222870478421</v>
      </c>
    </row>
    <row r="245" spans="1:10" ht="15.6" x14ac:dyDescent="0.3">
      <c r="A245" s="10"/>
      <c r="B245" s="8">
        <v>49</v>
      </c>
      <c r="C245" s="7" t="s">
        <v>15</v>
      </c>
      <c r="D245" s="8">
        <v>1989</v>
      </c>
      <c r="E245" s="7"/>
      <c r="F245" s="7"/>
      <c r="G245" s="8"/>
      <c r="H245" s="8"/>
      <c r="I245" s="9">
        <v>8.3912037037036993E-2</v>
      </c>
      <c r="J245" s="12">
        <f t="shared" si="9"/>
        <v>24.827586206896562</v>
      </c>
    </row>
    <row r="246" spans="1:10" ht="15.6" x14ac:dyDescent="0.3">
      <c r="A246" s="10"/>
      <c r="B246" s="8">
        <v>50</v>
      </c>
      <c r="C246" s="7" t="s">
        <v>13</v>
      </c>
      <c r="D246" s="8">
        <v>2002</v>
      </c>
      <c r="E246" s="7" t="s">
        <v>156</v>
      </c>
      <c r="F246" s="7"/>
      <c r="G246" s="8" t="s">
        <v>14</v>
      </c>
      <c r="H246" s="8"/>
      <c r="I246" s="9">
        <v>7.3993055555555604E-2</v>
      </c>
      <c r="J246" s="12">
        <f t="shared" si="9"/>
        <v>28.155795401220065</v>
      </c>
    </row>
    <row r="247" spans="1:10" ht="15.6" x14ac:dyDescent="0.3">
      <c r="A247" s="10"/>
      <c r="B247" s="8">
        <v>50</v>
      </c>
      <c r="C247" s="7" t="s">
        <v>15</v>
      </c>
      <c r="D247" s="8">
        <v>1990</v>
      </c>
      <c r="E247" s="7"/>
      <c r="F247" s="7"/>
      <c r="G247" s="8"/>
      <c r="H247" s="8"/>
      <c r="I247" s="9">
        <v>8.1041666666666706E-2</v>
      </c>
      <c r="J247" s="12">
        <f t="shared" si="9"/>
        <v>25.706940874035975</v>
      </c>
    </row>
    <row r="248" spans="1:10" ht="15.6" x14ac:dyDescent="0.3">
      <c r="A248" s="10"/>
      <c r="B248" s="8">
        <v>51</v>
      </c>
      <c r="C248" s="7" t="s">
        <v>15</v>
      </c>
      <c r="D248" s="8">
        <v>1991</v>
      </c>
      <c r="E248" s="7"/>
      <c r="F248" s="7"/>
      <c r="G248" s="8"/>
      <c r="H248" s="8" t="s">
        <v>19</v>
      </c>
      <c r="I248" s="9">
        <v>7.6712962962962997E-2</v>
      </c>
      <c r="J248" s="12">
        <f t="shared" si="9"/>
        <v>27.157513578756777</v>
      </c>
    </row>
    <row r="249" spans="1:10" ht="15.6" x14ac:dyDescent="0.3">
      <c r="A249" s="10"/>
      <c r="B249" s="8">
        <v>52</v>
      </c>
      <c r="C249" s="7" t="s">
        <v>15</v>
      </c>
      <c r="D249" s="8">
        <v>1992</v>
      </c>
      <c r="E249" s="7"/>
      <c r="F249" s="7"/>
      <c r="G249" s="8"/>
      <c r="H249" s="8"/>
      <c r="I249" s="9">
        <v>8.0543981481481494E-2</v>
      </c>
      <c r="J249" s="12">
        <f t="shared" si="9"/>
        <v>25.865785313981892</v>
      </c>
    </row>
    <row r="250" spans="1:10" ht="15.6" x14ac:dyDescent="0.3">
      <c r="A250" s="10"/>
      <c r="B250" s="8">
        <v>52</v>
      </c>
      <c r="C250" s="7" t="s">
        <v>12</v>
      </c>
      <c r="D250" s="8">
        <v>1989</v>
      </c>
      <c r="E250" s="7"/>
      <c r="F250" s="7"/>
      <c r="G250" s="8"/>
      <c r="H250" s="8"/>
      <c r="I250" s="9">
        <v>8.7615740740740702E-2</v>
      </c>
      <c r="J250" s="12">
        <f t="shared" si="9"/>
        <v>23.778071334214012</v>
      </c>
    </row>
    <row r="251" spans="1:10" ht="15.6" x14ac:dyDescent="0.3">
      <c r="A251" s="10"/>
      <c r="B251" s="8">
        <v>53</v>
      </c>
      <c r="C251" s="7" t="s">
        <v>15</v>
      </c>
      <c r="D251" s="8">
        <v>1993</v>
      </c>
      <c r="E251" s="7"/>
      <c r="F251" s="7"/>
      <c r="G251" s="8"/>
      <c r="H251" s="8"/>
      <c r="I251" s="9">
        <v>8.1932870370370406E-2</v>
      </c>
      <c r="J251" s="12">
        <f t="shared" si="9"/>
        <v>25.427320242972158</v>
      </c>
    </row>
    <row r="252" spans="1:10" ht="15.6" x14ac:dyDescent="0.3">
      <c r="A252" s="10"/>
      <c r="B252" s="8">
        <v>53</v>
      </c>
      <c r="C252" s="7" t="s">
        <v>12</v>
      </c>
      <c r="D252" s="8">
        <v>1990</v>
      </c>
      <c r="E252" s="7"/>
      <c r="F252" s="7"/>
      <c r="G252" s="8"/>
      <c r="H252" s="8"/>
      <c r="I252" s="9">
        <v>8.8449074074074097E-2</v>
      </c>
      <c r="J252" s="12">
        <f t="shared" si="9"/>
        <v>23.55404344412457</v>
      </c>
    </row>
    <row r="253" spans="1:10" ht="15.6" x14ac:dyDescent="0.3">
      <c r="A253" s="10"/>
      <c r="B253" s="8">
        <v>54</v>
      </c>
      <c r="C253" s="7" t="s">
        <v>13</v>
      </c>
      <c r="D253" s="8">
        <v>2006</v>
      </c>
      <c r="E253" s="7"/>
      <c r="F253" s="7"/>
      <c r="G253" s="8"/>
      <c r="H253" s="8" t="s">
        <v>19</v>
      </c>
      <c r="I253" s="9">
        <v>7.6712962962962997E-2</v>
      </c>
      <c r="J253" s="12">
        <f t="shared" si="9"/>
        <v>27.157513578756777</v>
      </c>
    </row>
    <row r="254" spans="1:10" ht="15.6" x14ac:dyDescent="0.3">
      <c r="A254" s="10"/>
      <c r="B254" s="8">
        <v>54</v>
      </c>
      <c r="C254" s="7" t="s">
        <v>13</v>
      </c>
      <c r="D254" s="8">
        <v>2006</v>
      </c>
      <c r="E254" s="7"/>
      <c r="F254" s="7"/>
      <c r="G254" s="8"/>
      <c r="H254" s="8"/>
      <c r="I254" s="9">
        <v>7.7361111111111103E-2</v>
      </c>
      <c r="J254" s="12">
        <f t="shared" si="9"/>
        <v>26.929982046678639</v>
      </c>
    </row>
    <row r="255" spans="1:10" ht="15.6" x14ac:dyDescent="0.3">
      <c r="A255" s="10"/>
      <c r="B255" s="8">
        <v>54</v>
      </c>
      <c r="C255" s="7" t="s">
        <v>15</v>
      </c>
      <c r="D255" s="8">
        <v>1994</v>
      </c>
      <c r="E255" s="7"/>
      <c r="F255" s="7"/>
      <c r="G255" s="8"/>
      <c r="H255" s="8"/>
      <c r="I255" s="9">
        <v>8.0520833333333305E-2</v>
      </c>
      <c r="J255" s="12">
        <f t="shared" si="9"/>
        <v>25.873221216041408</v>
      </c>
    </row>
    <row r="256" spans="1:10" ht="15.6" x14ac:dyDescent="0.3">
      <c r="A256" s="10"/>
      <c r="B256" s="8">
        <v>55</v>
      </c>
      <c r="C256" s="7" t="s">
        <v>13</v>
      </c>
      <c r="D256" s="8">
        <v>2007</v>
      </c>
      <c r="E256" s="7"/>
      <c r="F256" s="7"/>
      <c r="G256" s="8"/>
      <c r="H256" s="8"/>
      <c r="I256" s="9">
        <v>7.5416666666666701E-2</v>
      </c>
      <c r="J256" s="12">
        <f t="shared" si="9"/>
        <v>27.624309392265179</v>
      </c>
    </row>
    <row r="257" spans="1:10" ht="15.6" x14ac:dyDescent="0.3">
      <c r="A257" s="10"/>
      <c r="B257" s="8">
        <v>55</v>
      </c>
      <c r="C257" s="7" t="s">
        <v>13</v>
      </c>
      <c r="D257" s="8">
        <v>2007</v>
      </c>
      <c r="E257" s="7"/>
      <c r="F257" s="7"/>
      <c r="G257" s="8"/>
      <c r="H257" s="8"/>
      <c r="I257" s="9">
        <v>7.6307870370370401E-2</v>
      </c>
      <c r="J257" s="12">
        <f t="shared" si="9"/>
        <v>27.301683603822223</v>
      </c>
    </row>
    <row r="258" spans="1:10" s="3" customFormat="1" ht="15.6" x14ac:dyDescent="0.3">
      <c r="A258" s="10"/>
      <c r="B258" s="13">
        <v>56</v>
      </c>
      <c r="C258" s="10" t="s">
        <v>13</v>
      </c>
      <c r="D258" s="13" t="s">
        <v>157</v>
      </c>
      <c r="E258" s="10" t="s">
        <v>158</v>
      </c>
      <c r="F258" s="10"/>
      <c r="G258" s="13" t="s">
        <v>14</v>
      </c>
      <c r="H258" s="13" t="s">
        <v>39</v>
      </c>
      <c r="I258" s="11">
        <v>7.1249999999999994E-2</v>
      </c>
      <c r="J258" s="14">
        <f t="shared" si="9"/>
        <v>29.239766081871345</v>
      </c>
    </row>
    <row r="259" spans="1:10" ht="15.6" x14ac:dyDescent="0.3">
      <c r="A259" s="10"/>
      <c r="B259" s="8">
        <v>57</v>
      </c>
      <c r="C259" s="7" t="s">
        <v>29</v>
      </c>
      <c r="D259" s="8">
        <v>1978</v>
      </c>
      <c r="E259" s="7"/>
      <c r="F259" s="7"/>
      <c r="G259" s="8"/>
      <c r="H259" s="8"/>
      <c r="I259" s="9">
        <v>9.0428240740740698E-2</v>
      </c>
      <c r="J259" s="12">
        <f t="shared" si="9"/>
        <v>23.03852553436581</v>
      </c>
    </row>
    <row r="260" spans="1:10" ht="15.6" x14ac:dyDescent="0.3">
      <c r="A260" s="10"/>
      <c r="B260" s="8">
        <v>58</v>
      </c>
      <c r="C260" s="7" t="s">
        <v>29</v>
      </c>
      <c r="D260" s="8">
        <v>1979</v>
      </c>
      <c r="E260" s="7"/>
      <c r="F260" s="7"/>
      <c r="G260" s="8"/>
      <c r="H260" s="8"/>
      <c r="I260" s="9">
        <v>9.5567129629629599E-2</v>
      </c>
      <c r="J260" s="12">
        <f t="shared" si="9"/>
        <v>21.799685115659447</v>
      </c>
    </row>
    <row r="261" spans="1:10" ht="15.6" x14ac:dyDescent="0.3">
      <c r="A261" s="10"/>
      <c r="B261" s="8">
        <v>59</v>
      </c>
      <c r="C261" s="7" t="s">
        <v>29</v>
      </c>
      <c r="D261" s="8">
        <v>1980</v>
      </c>
      <c r="E261" s="7"/>
      <c r="F261" s="7"/>
      <c r="G261" s="8"/>
      <c r="H261" s="8"/>
      <c r="I261" s="9">
        <v>9.6307870370370405E-2</v>
      </c>
      <c r="J261" s="12">
        <f t="shared" si="9"/>
        <v>21.632015382766486</v>
      </c>
    </row>
    <row r="262" spans="1:10" ht="15.6" x14ac:dyDescent="0.3">
      <c r="A262" s="10"/>
      <c r="B262" s="8">
        <v>60</v>
      </c>
      <c r="C262" s="7" t="s">
        <v>13</v>
      </c>
      <c r="D262" s="8" t="s">
        <v>159</v>
      </c>
      <c r="E262" s="7" t="s">
        <v>158</v>
      </c>
      <c r="F262" s="7"/>
      <c r="G262" s="8"/>
      <c r="H262" s="8"/>
      <c r="I262" s="9">
        <v>7.3935185185185201E-2</v>
      </c>
      <c r="J262" s="12">
        <f t="shared" si="9"/>
        <v>28.177833437695675</v>
      </c>
    </row>
    <row r="263" spans="1:10" ht="15.6" x14ac:dyDescent="0.3">
      <c r="A263" s="10"/>
      <c r="B263" s="8">
        <v>60</v>
      </c>
      <c r="C263" s="7" t="s">
        <v>29</v>
      </c>
      <c r="D263" s="8">
        <v>1981</v>
      </c>
      <c r="E263" s="7"/>
      <c r="F263" s="7"/>
      <c r="G263" s="8"/>
      <c r="H263" s="8"/>
      <c r="I263" s="9">
        <v>9.3275462962963004E-2</v>
      </c>
      <c r="J263" s="12">
        <f t="shared" si="9"/>
        <v>22.335277329693501</v>
      </c>
    </row>
    <row r="264" spans="1:10" ht="15.6" x14ac:dyDescent="0.3">
      <c r="A264" s="10"/>
      <c r="B264" s="8">
        <v>61</v>
      </c>
      <c r="C264" s="7" t="s">
        <v>13</v>
      </c>
      <c r="D264" s="8" t="s">
        <v>160</v>
      </c>
      <c r="E264" s="7"/>
      <c r="F264" s="7"/>
      <c r="G264" s="8"/>
      <c r="H264" s="8"/>
      <c r="I264" s="9">
        <v>7.4872685185185195E-2</v>
      </c>
      <c r="J264" s="12">
        <f t="shared" si="9"/>
        <v>27.825011593754827</v>
      </c>
    </row>
    <row r="265" spans="1:10" ht="15.6" x14ac:dyDescent="0.3">
      <c r="A265" s="10"/>
      <c r="B265" s="8">
        <v>61</v>
      </c>
      <c r="C265" s="7" t="s">
        <v>32</v>
      </c>
      <c r="D265" s="8">
        <v>1991</v>
      </c>
      <c r="E265" s="7"/>
      <c r="F265" s="7"/>
      <c r="G265" s="8"/>
      <c r="H265" s="8"/>
      <c r="I265" s="9">
        <v>8.2731481481481503E-2</v>
      </c>
      <c r="J265" s="12">
        <f t="shared" si="9"/>
        <v>25.181869054280913</v>
      </c>
    </row>
    <row r="266" spans="1:10" ht="15.6" x14ac:dyDescent="0.3">
      <c r="A266" s="10"/>
      <c r="B266" s="8">
        <v>61</v>
      </c>
      <c r="C266" s="7" t="s">
        <v>29</v>
      </c>
      <c r="D266" s="8">
        <v>1982</v>
      </c>
      <c r="E266" s="7"/>
      <c r="F266" s="7"/>
      <c r="G266" s="8"/>
      <c r="H266" s="8"/>
      <c r="I266" s="9">
        <v>9.3159722222222199E-2</v>
      </c>
      <c r="J266" s="12">
        <f t="shared" si="9"/>
        <v>22.363026462914654</v>
      </c>
    </row>
    <row r="267" spans="1:10" ht="15.6" x14ac:dyDescent="0.3">
      <c r="A267" s="10"/>
      <c r="B267" s="8">
        <v>62</v>
      </c>
      <c r="C267" s="7" t="s">
        <v>32</v>
      </c>
      <c r="D267" s="8">
        <v>1992</v>
      </c>
      <c r="E267" s="7"/>
      <c r="F267" s="7"/>
      <c r="G267" s="8"/>
      <c r="H267" s="8"/>
      <c r="I267" s="9">
        <v>8.7326388888888898E-2</v>
      </c>
      <c r="J267" s="12">
        <f t="shared" si="9"/>
        <v>23.856858846918485</v>
      </c>
    </row>
    <row r="268" spans="1:10" ht="15.6" x14ac:dyDescent="0.3">
      <c r="A268" s="10"/>
      <c r="B268" s="8">
        <v>62</v>
      </c>
      <c r="C268" s="7" t="s">
        <v>29</v>
      </c>
      <c r="D268" s="8">
        <v>1983</v>
      </c>
      <c r="E268" s="7"/>
      <c r="F268" s="7"/>
      <c r="G268" s="8"/>
      <c r="H268" s="8"/>
      <c r="I268" s="9">
        <v>9.7488425925925895E-2</v>
      </c>
      <c r="J268" s="12">
        <f t="shared" si="9"/>
        <v>21.370058174047259</v>
      </c>
    </row>
    <row r="269" spans="1:10" ht="15.6" x14ac:dyDescent="0.3">
      <c r="A269" s="10"/>
      <c r="B269" s="8">
        <v>63</v>
      </c>
      <c r="C269" s="7" t="s">
        <v>33</v>
      </c>
      <c r="D269" s="8" t="s">
        <v>161</v>
      </c>
      <c r="E269" s="7" t="s">
        <v>158</v>
      </c>
      <c r="F269" s="7"/>
      <c r="G269" s="8"/>
      <c r="H269" s="8" t="s">
        <v>19</v>
      </c>
      <c r="I269" s="9">
        <v>7.5335648148148193E-2</v>
      </c>
      <c r="J269" s="12">
        <f t="shared" si="9"/>
        <v>27.654017514211077</v>
      </c>
    </row>
    <row r="270" spans="1:10" ht="15.6" x14ac:dyDescent="0.3">
      <c r="A270" s="10"/>
      <c r="B270" s="8">
        <v>63</v>
      </c>
      <c r="C270" s="7" t="s">
        <v>32</v>
      </c>
      <c r="D270" s="8">
        <v>1993</v>
      </c>
      <c r="E270" s="7"/>
      <c r="F270" s="7"/>
      <c r="G270" s="8"/>
      <c r="H270" s="8"/>
      <c r="I270" s="9">
        <v>8.67592592592593E-2</v>
      </c>
      <c r="J270" s="12">
        <f t="shared" si="9"/>
        <v>24.01280683030949</v>
      </c>
    </row>
    <row r="271" spans="1:10" ht="15.6" x14ac:dyDescent="0.3">
      <c r="A271" s="10"/>
      <c r="B271" s="8">
        <v>64</v>
      </c>
      <c r="C271" s="7" t="s">
        <v>13</v>
      </c>
      <c r="D271" s="8" t="s">
        <v>161</v>
      </c>
      <c r="E271" s="7" t="s">
        <v>158</v>
      </c>
      <c r="F271" s="7"/>
      <c r="G271" s="8"/>
      <c r="H271" s="8" t="s">
        <v>19</v>
      </c>
      <c r="I271" s="9">
        <v>7.6481481481481497E-2</v>
      </c>
      <c r="J271" s="12">
        <f t="shared" si="9"/>
        <v>27.239709443099265</v>
      </c>
    </row>
    <row r="272" spans="1:10" ht="15.6" x14ac:dyDescent="0.3">
      <c r="A272" s="10"/>
      <c r="B272" s="8">
        <v>64</v>
      </c>
      <c r="C272" s="7" t="s">
        <v>29</v>
      </c>
      <c r="D272" s="8">
        <v>1985</v>
      </c>
      <c r="E272" s="7"/>
      <c r="F272" s="7"/>
      <c r="G272" s="8"/>
      <c r="H272" s="8"/>
      <c r="I272" s="9">
        <v>0.100115740740741</v>
      </c>
      <c r="J272" s="12">
        <f t="shared" ref="J272:J303" si="10">VALUE(SUBSTITUTE($A$240,"miles",""))/(I272*24)</f>
        <v>20.809248554913243</v>
      </c>
    </row>
    <row r="273" spans="1:10" s="3" customFormat="1" ht="15.6" x14ac:dyDescent="0.3">
      <c r="A273" s="10"/>
      <c r="B273" s="13">
        <v>65</v>
      </c>
      <c r="C273" s="10" t="s">
        <v>33</v>
      </c>
      <c r="D273" s="13" t="s">
        <v>162</v>
      </c>
      <c r="E273" s="10" t="s">
        <v>158</v>
      </c>
      <c r="F273" s="10"/>
      <c r="G273" s="13" t="s">
        <v>43</v>
      </c>
      <c r="H273" s="13" t="s">
        <v>39</v>
      </c>
      <c r="I273" s="11">
        <v>7.1932870370370397E-2</v>
      </c>
      <c r="J273" s="14">
        <f t="shared" si="10"/>
        <v>28.962188254223641</v>
      </c>
    </row>
    <row r="274" spans="1:10" ht="15.6" x14ac:dyDescent="0.3">
      <c r="A274" s="10"/>
      <c r="B274" s="8">
        <v>65</v>
      </c>
      <c r="C274" s="7" t="s">
        <v>13</v>
      </c>
      <c r="D274" s="8" t="s">
        <v>163</v>
      </c>
      <c r="E274" s="7" t="s">
        <v>158</v>
      </c>
      <c r="F274" s="7"/>
      <c r="G274" s="8"/>
      <c r="H274" s="8"/>
      <c r="I274" s="9">
        <v>8.0324074074074103E-2</v>
      </c>
      <c r="J274" s="12">
        <f t="shared" si="10"/>
        <v>25.936599423631115</v>
      </c>
    </row>
    <row r="275" spans="1:10" ht="15.6" x14ac:dyDescent="0.3">
      <c r="A275" s="10"/>
      <c r="B275" s="8">
        <v>65</v>
      </c>
      <c r="C275" s="7" t="s">
        <v>29</v>
      </c>
      <c r="D275" s="8">
        <v>1986</v>
      </c>
      <c r="E275" s="7"/>
      <c r="F275" s="7"/>
      <c r="G275" s="8"/>
      <c r="H275" s="8"/>
      <c r="I275" s="9">
        <v>0.101736111111111</v>
      </c>
      <c r="J275" s="12">
        <f t="shared" si="10"/>
        <v>20.477815699658727</v>
      </c>
    </row>
    <row r="276" spans="1:10" s="3" customFormat="1" ht="15.6" x14ac:dyDescent="0.3">
      <c r="A276" s="10"/>
      <c r="B276" s="8">
        <v>66</v>
      </c>
      <c r="C276" s="7" t="s">
        <v>13</v>
      </c>
      <c r="D276" s="8" t="s">
        <v>162</v>
      </c>
      <c r="E276" s="7" t="s">
        <v>158</v>
      </c>
      <c r="F276" s="7"/>
      <c r="G276" s="8" t="s">
        <v>14</v>
      </c>
      <c r="H276" s="8" t="s">
        <v>19</v>
      </c>
      <c r="I276" s="9">
        <v>7.4432870370370399E-2</v>
      </c>
      <c r="J276" s="12">
        <f t="shared" si="10"/>
        <v>27.989426216762542</v>
      </c>
    </row>
    <row r="277" spans="1:10" ht="15.6" x14ac:dyDescent="0.3">
      <c r="A277" s="10"/>
      <c r="B277" s="8">
        <v>66</v>
      </c>
      <c r="C277" s="7" t="s">
        <v>32</v>
      </c>
      <c r="D277" s="8" t="s">
        <v>164</v>
      </c>
      <c r="E277" s="7" t="s">
        <v>165</v>
      </c>
      <c r="F277" s="7"/>
      <c r="G277" s="8"/>
      <c r="H277" s="8"/>
      <c r="I277" s="9">
        <v>8.4710648148148202E-2</v>
      </c>
      <c r="J277" s="12">
        <f t="shared" si="10"/>
        <v>24.593523705424225</v>
      </c>
    </row>
    <row r="278" spans="1:10" ht="15.6" x14ac:dyDescent="0.3">
      <c r="A278" s="10"/>
      <c r="B278" s="8">
        <v>66</v>
      </c>
      <c r="C278" s="7" t="s">
        <v>48</v>
      </c>
      <c r="D278" s="8">
        <v>1993</v>
      </c>
      <c r="E278" s="7"/>
      <c r="F278" s="7"/>
      <c r="G278" s="8"/>
      <c r="H278" s="8"/>
      <c r="I278" s="9">
        <v>8.9108796296296297E-2</v>
      </c>
      <c r="J278" s="12">
        <f t="shared" si="10"/>
        <v>23.379659696064426</v>
      </c>
    </row>
    <row r="279" spans="1:10" ht="15.6" x14ac:dyDescent="0.3">
      <c r="A279" s="10"/>
      <c r="B279" s="13">
        <v>67</v>
      </c>
      <c r="C279" s="10" t="s">
        <v>33</v>
      </c>
      <c r="D279" s="13" t="s">
        <v>166</v>
      </c>
      <c r="E279" s="10" t="s">
        <v>158</v>
      </c>
      <c r="F279" s="10"/>
      <c r="G279" s="13" t="s">
        <v>43</v>
      </c>
      <c r="H279" s="13" t="s">
        <v>39</v>
      </c>
      <c r="I279" s="11">
        <v>7.3564814814814805E-2</v>
      </c>
      <c r="J279" s="14">
        <f t="shared" si="10"/>
        <v>28.319697923222154</v>
      </c>
    </row>
    <row r="280" spans="1:10" s="3" customFormat="1" ht="15.6" x14ac:dyDescent="0.3">
      <c r="A280" s="10"/>
      <c r="B280" s="8">
        <v>67</v>
      </c>
      <c r="C280" s="7" t="s">
        <v>13</v>
      </c>
      <c r="D280" s="8" t="s">
        <v>167</v>
      </c>
      <c r="E280" s="7" t="s">
        <v>158</v>
      </c>
      <c r="F280" s="7"/>
      <c r="G280" s="8"/>
      <c r="H280" s="8" t="s">
        <v>19</v>
      </c>
      <c r="I280" s="9">
        <v>7.8414351851851805E-2</v>
      </c>
      <c r="J280" s="12">
        <f t="shared" si="10"/>
        <v>26.568265682656843</v>
      </c>
    </row>
    <row r="281" spans="1:10" ht="15.6" x14ac:dyDescent="0.3">
      <c r="A281" s="10"/>
      <c r="B281" s="8">
        <v>67</v>
      </c>
      <c r="C281" s="7" t="s">
        <v>48</v>
      </c>
      <c r="D281" s="8" t="s">
        <v>168</v>
      </c>
      <c r="E281" s="7" t="s">
        <v>169</v>
      </c>
      <c r="F281" s="7"/>
      <c r="G281" s="8"/>
      <c r="H281" s="8"/>
      <c r="I281" s="9">
        <v>8.98263888888889E-2</v>
      </c>
      <c r="J281" s="12">
        <f t="shared" si="10"/>
        <v>23.192887514495549</v>
      </c>
    </row>
    <row r="282" spans="1:10" ht="15.6" x14ac:dyDescent="0.3">
      <c r="A282" s="10"/>
      <c r="B282" s="13">
        <v>68</v>
      </c>
      <c r="C282" s="10" t="s">
        <v>33</v>
      </c>
      <c r="D282" s="13" t="s">
        <v>170</v>
      </c>
      <c r="E282" s="10" t="s">
        <v>171</v>
      </c>
      <c r="F282" s="10"/>
      <c r="G282" s="13" t="s">
        <v>43</v>
      </c>
      <c r="H282" s="13" t="s">
        <v>39</v>
      </c>
      <c r="I282" s="11">
        <v>7.4930555555555597E-2</v>
      </c>
      <c r="J282" s="14">
        <f t="shared" si="10"/>
        <v>27.803521779425381</v>
      </c>
    </row>
    <row r="283" spans="1:10" ht="15.6" x14ac:dyDescent="0.3">
      <c r="A283" s="10"/>
      <c r="B283" s="8">
        <v>68</v>
      </c>
      <c r="C283" s="7" t="s">
        <v>33</v>
      </c>
      <c r="D283" s="8" t="s">
        <v>172</v>
      </c>
      <c r="E283" s="7" t="s">
        <v>171</v>
      </c>
      <c r="F283" s="7"/>
      <c r="G283" s="8" t="s">
        <v>14</v>
      </c>
      <c r="H283" s="8" t="s">
        <v>19</v>
      </c>
      <c r="I283" s="9">
        <v>7.5520833333333301E-2</v>
      </c>
      <c r="J283" s="12">
        <f t="shared" si="10"/>
        <v>27.586206896551737</v>
      </c>
    </row>
    <row r="284" spans="1:10" ht="15.6" x14ac:dyDescent="0.3">
      <c r="A284" s="10"/>
      <c r="B284" s="8">
        <v>68</v>
      </c>
      <c r="C284" s="7" t="s">
        <v>46</v>
      </c>
      <c r="D284" s="8" t="s">
        <v>161</v>
      </c>
      <c r="E284" s="7" t="s">
        <v>158</v>
      </c>
      <c r="F284" s="7"/>
      <c r="G284" s="8"/>
      <c r="H284" s="8" t="s">
        <v>19</v>
      </c>
      <c r="I284" s="9">
        <v>8.1747685185185201E-2</v>
      </c>
      <c r="J284" s="12">
        <f t="shared" si="10"/>
        <v>25.484921421492281</v>
      </c>
    </row>
    <row r="285" spans="1:10" ht="15.6" x14ac:dyDescent="0.3">
      <c r="A285" s="10"/>
      <c r="B285" s="8">
        <v>68</v>
      </c>
      <c r="C285" s="7" t="s">
        <v>48</v>
      </c>
      <c r="D285" s="8">
        <v>1995</v>
      </c>
      <c r="E285" s="7"/>
      <c r="F285" s="7"/>
      <c r="G285" s="8"/>
      <c r="H285" s="8"/>
      <c r="I285" s="9">
        <v>9.2118055555555606E-2</v>
      </c>
      <c r="J285" s="12">
        <f t="shared" si="10"/>
        <v>22.615906520919705</v>
      </c>
    </row>
    <row r="286" spans="1:10" ht="15.6" x14ac:dyDescent="0.3">
      <c r="A286" s="10"/>
      <c r="B286" s="13">
        <v>69</v>
      </c>
      <c r="C286" s="10" t="s">
        <v>33</v>
      </c>
      <c r="D286" s="13" t="s">
        <v>173</v>
      </c>
      <c r="E286" s="10" t="s">
        <v>171</v>
      </c>
      <c r="F286" s="10"/>
      <c r="G286" s="13" t="s">
        <v>43</v>
      </c>
      <c r="H286" s="13" t="s">
        <v>39</v>
      </c>
      <c r="I286" s="11">
        <v>7.5451388888888901E-2</v>
      </c>
      <c r="J286" s="14">
        <f t="shared" si="10"/>
        <v>27.611596870685684</v>
      </c>
    </row>
    <row r="287" spans="1:10" ht="15.6" x14ac:dyDescent="0.3">
      <c r="A287" s="10"/>
      <c r="B287" s="8">
        <v>69</v>
      </c>
      <c r="C287" s="7" t="s">
        <v>46</v>
      </c>
      <c r="D287" s="8" t="s">
        <v>174</v>
      </c>
      <c r="E287" s="7" t="s">
        <v>158</v>
      </c>
      <c r="F287" s="7"/>
      <c r="G287" s="8"/>
      <c r="H287" s="8"/>
      <c r="I287" s="9">
        <v>8.2986111111111094E-2</v>
      </c>
      <c r="J287" s="12">
        <f t="shared" si="10"/>
        <v>25.104602510460257</v>
      </c>
    </row>
    <row r="288" spans="1:10" ht="15.6" x14ac:dyDescent="0.3">
      <c r="A288" s="10"/>
      <c r="B288" s="8">
        <v>69</v>
      </c>
      <c r="C288" s="7" t="s">
        <v>56</v>
      </c>
      <c r="D288" s="8" t="s">
        <v>175</v>
      </c>
      <c r="E288" s="7" t="s">
        <v>176</v>
      </c>
      <c r="F288" s="7"/>
      <c r="G288" s="8"/>
      <c r="H288" s="8"/>
      <c r="I288" s="9">
        <v>9.0046296296296305E-2</v>
      </c>
      <c r="J288" s="12">
        <f t="shared" si="10"/>
        <v>23.136246786632388</v>
      </c>
    </row>
    <row r="289" spans="1:10" ht="15.6" x14ac:dyDescent="0.3">
      <c r="A289" s="10"/>
      <c r="B289" s="8">
        <v>69</v>
      </c>
      <c r="C289" s="7" t="s">
        <v>48</v>
      </c>
      <c r="D289" s="8">
        <v>1996</v>
      </c>
      <c r="E289" s="7"/>
      <c r="F289" s="7"/>
      <c r="G289" s="8"/>
      <c r="H289" s="8"/>
      <c r="I289" s="9">
        <v>9.0497685185185195E-2</v>
      </c>
      <c r="J289" s="12">
        <f t="shared" si="10"/>
        <v>23.020846655582552</v>
      </c>
    </row>
    <row r="290" spans="1:10" s="3" customFormat="1" ht="15.6" x14ac:dyDescent="0.3">
      <c r="A290" s="10"/>
      <c r="B290" s="13">
        <v>70</v>
      </c>
      <c r="C290" s="10" t="s">
        <v>46</v>
      </c>
      <c r="D290" s="13" t="s">
        <v>162</v>
      </c>
      <c r="E290" s="10" t="s">
        <v>158</v>
      </c>
      <c r="F290" s="10"/>
      <c r="G290" s="13"/>
      <c r="H290" s="13" t="s">
        <v>39</v>
      </c>
      <c r="I290" s="11">
        <v>8.0578703703703694E-2</v>
      </c>
      <c r="J290" s="14">
        <f t="shared" si="10"/>
        <v>25.854639471416263</v>
      </c>
    </row>
    <row r="291" spans="1:10" s="3" customFormat="1" ht="15.6" x14ac:dyDescent="0.3">
      <c r="A291" s="10"/>
      <c r="B291" s="13">
        <v>71</v>
      </c>
      <c r="C291" s="10" t="s">
        <v>46</v>
      </c>
      <c r="D291" s="13" t="s">
        <v>177</v>
      </c>
      <c r="E291" s="10" t="s">
        <v>158</v>
      </c>
      <c r="F291" s="10"/>
      <c r="G291" s="13"/>
      <c r="H291" s="13" t="s">
        <v>39</v>
      </c>
      <c r="I291" s="11">
        <v>8.4016203703703704E-2</v>
      </c>
      <c r="J291" s="14">
        <f t="shared" si="10"/>
        <v>24.796803967488636</v>
      </c>
    </row>
    <row r="292" spans="1:10" ht="15.6" x14ac:dyDescent="0.3">
      <c r="A292" s="10"/>
      <c r="B292" s="8">
        <v>71</v>
      </c>
      <c r="C292" s="7" t="s">
        <v>56</v>
      </c>
      <c r="D292" s="8" t="s">
        <v>178</v>
      </c>
      <c r="E292" s="7" t="s">
        <v>176</v>
      </c>
      <c r="F292" s="7"/>
      <c r="G292" s="8"/>
      <c r="H292" s="8"/>
      <c r="I292" s="9">
        <v>9.1701388888888902E-2</v>
      </c>
      <c r="J292" s="12">
        <f t="shared" si="10"/>
        <v>22.718667171525933</v>
      </c>
    </row>
    <row r="293" spans="1:10" ht="15.6" x14ac:dyDescent="0.3">
      <c r="A293" s="10"/>
      <c r="B293" s="8">
        <v>72</v>
      </c>
      <c r="C293" s="7" t="s">
        <v>48</v>
      </c>
      <c r="D293" s="8">
        <v>1999</v>
      </c>
      <c r="E293" s="7"/>
      <c r="F293" s="7"/>
      <c r="G293" s="8"/>
      <c r="H293" s="8"/>
      <c r="I293" s="9">
        <v>9.3124999999999999E-2</v>
      </c>
      <c r="J293" s="12">
        <f t="shared" si="10"/>
        <v>22.371364653243848</v>
      </c>
    </row>
    <row r="294" spans="1:10" ht="15.6" x14ac:dyDescent="0.3">
      <c r="A294" s="10"/>
      <c r="B294" s="13">
        <v>73</v>
      </c>
      <c r="C294" s="10" t="s">
        <v>46</v>
      </c>
      <c r="D294" s="13" t="s">
        <v>179</v>
      </c>
      <c r="E294" s="10" t="s">
        <v>171</v>
      </c>
      <c r="F294" s="10"/>
      <c r="G294" s="13"/>
      <c r="H294" s="13" t="s">
        <v>39</v>
      </c>
      <c r="I294" s="11">
        <v>8.5555555555555607E-2</v>
      </c>
      <c r="J294" s="14">
        <f t="shared" si="10"/>
        <v>24.350649350649338</v>
      </c>
    </row>
    <row r="295" spans="1:10" ht="15.6" x14ac:dyDescent="0.3">
      <c r="A295" s="10"/>
      <c r="B295" s="13">
        <v>74</v>
      </c>
      <c r="C295" s="10" t="s">
        <v>46</v>
      </c>
      <c r="D295" s="13" t="s">
        <v>180</v>
      </c>
      <c r="E295" s="10" t="s">
        <v>171</v>
      </c>
      <c r="F295" s="10"/>
      <c r="G295" s="8"/>
      <c r="H295" s="8"/>
      <c r="I295" s="11">
        <v>8.6331018518518501E-2</v>
      </c>
      <c r="J295" s="14">
        <f t="shared" si="10"/>
        <v>24.131921169057517</v>
      </c>
    </row>
    <row r="296" spans="1:10" ht="15.6" x14ac:dyDescent="0.3">
      <c r="A296" s="10"/>
      <c r="B296" s="8">
        <v>73</v>
      </c>
      <c r="C296" s="7" t="s">
        <v>56</v>
      </c>
      <c r="D296" s="8">
        <v>2004</v>
      </c>
      <c r="E296" s="7"/>
      <c r="F296" s="7"/>
      <c r="G296" s="8"/>
      <c r="H296" s="8"/>
      <c r="I296" s="9">
        <v>9.6527777777777796E-2</v>
      </c>
      <c r="J296" s="12">
        <f t="shared" si="10"/>
        <v>21.582733812949634</v>
      </c>
    </row>
    <row r="297" spans="1:10" ht="15.6" x14ac:dyDescent="0.3">
      <c r="A297" s="10"/>
      <c r="B297" s="8">
        <v>74</v>
      </c>
      <c r="C297" s="7" t="s">
        <v>56</v>
      </c>
      <c r="D297" s="8">
        <v>2005</v>
      </c>
      <c r="E297" s="7"/>
      <c r="F297" s="7"/>
      <c r="G297" s="8"/>
      <c r="H297" s="8"/>
      <c r="I297" s="9">
        <v>9.8321759259259303E-2</v>
      </c>
      <c r="J297" s="12">
        <f t="shared" si="10"/>
        <v>21.188934667451431</v>
      </c>
    </row>
    <row r="298" spans="1:10" ht="15.6" x14ac:dyDescent="0.3">
      <c r="A298" s="10"/>
      <c r="B298" s="8">
        <v>75</v>
      </c>
      <c r="C298" s="7" t="s">
        <v>46</v>
      </c>
      <c r="D298" s="8" t="s">
        <v>181</v>
      </c>
      <c r="E298" s="7" t="s">
        <v>171</v>
      </c>
      <c r="F298" s="7"/>
      <c r="G298" s="9"/>
      <c r="H298" s="12"/>
      <c r="I298" s="9">
        <v>8.7372685185185206E-2</v>
      </c>
      <c r="J298" s="12">
        <f t="shared" si="10"/>
        <v>23.844217777189026</v>
      </c>
    </row>
    <row r="299" spans="1:10" ht="15.6" x14ac:dyDescent="0.3">
      <c r="A299" s="10"/>
      <c r="B299" s="8">
        <v>75</v>
      </c>
      <c r="C299" s="7" t="s">
        <v>56</v>
      </c>
      <c r="D299" s="8">
        <v>2006</v>
      </c>
      <c r="E299" s="7"/>
      <c r="F299" s="7"/>
      <c r="G299" s="8"/>
      <c r="H299" s="8" t="s">
        <v>19</v>
      </c>
      <c r="I299" s="9">
        <v>9.5868055555555595E-2</v>
      </c>
      <c r="J299" s="12">
        <f t="shared" si="10"/>
        <v>21.731256791017739</v>
      </c>
    </row>
    <row r="300" spans="1:10" ht="15.6" x14ac:dyDescent="0.3">
      <c r="A300" s="10"/>
      <c r="B300" s="8">
        <v>76</v>
      </c>
      <c r="C300" s="10" t="s">
        <v>46</v>
      </c>
      <c r="D300" s="13" t="s">
        <v>182</v>
      </c>
      <c r="E300" s="10" t="s">
        <v>171</v>
      </c>
      <c r="F300" s="10"/>
      <c r="G300" s="13"/>
      <c r="H300" s="13" t="s">
        <v>39</v>
      </c>
      <c r="I300" s="11">
        <v>8.6423611111111104E-2</v>
      </c>
      <c r="J300" s="14">
        <f t="shared" si="10"/>
        <v>24.106066693451183</v>
      </c>
    </row>
    <row r="301" spans="1:10" ht="15.6" x14ac:dyDescent="0.3">
      <c r="A301" s="10"/>
      <c r="B301" s="8">
        <v>76</v>
      </c>
      <c r="C301" s="7" t="s">
        <v>56</v>
      </c>
      <c r="D301" s="8">
        <v>2007</v>
      </c>
      <c r="E301" s="7"/>
      <c r="F301" s="7"/>
      <c r="G301" s="8"/>
      <c r="H301" s="8" t="s">
        <v>19</v>
      </c>
      <c r="I301" s="9">
        <v>9.3692129629629597E-2</v>
      </c>
      <c r="J301" s="12">
        <f t="shared" si="10"/>
        <v>22.235948116121069</v>
      </c>
    </row>
    <row r="302" spans="1:10" s="3" customFormat="1" ht="15.6" x14ac:dyDescent="0.3">
      <c r="A302" s="10"/>
      <c r="B302" s="13">
        <v>77</v>
      </c>
      <c r="C302" s="10" t="s">
        <v>56</v>
      </c>
      <c r="D302" s="13" t="s">
        <v>183</v>
      </c>
      <c r="E302" s="10" t="s">
        <v>184</v>
      </c>
      <c r="F302" s="10"/>
      <c r="G302" s="8"/>
      <c r="H302" s="8"/>
      <c r="I302" s="11">
        <v>9.2881944444444406E-2</v>
      </c>
      <c r="J302" s="14">
        <f t="shared" si="10"/>
        <v>22.429906542056084</v>
      </c>
    </row>
    <row r="303" spans="1:10" ht="9" customHeight="1" x14ac:dyDescent="0.3">
      <c r="A303" s="10"/>
      <c r="B303" s="8"/>
      <c r="C303" s="7"/>
      <c r="D303" s="8"/>
      <c r="E303" s="7"/>
      <c r="F303" s="7"/>
      <c r="G303" s="8"/>
      <c r="H303" s="8"/>
      <c r="I303" s="9"/>
      <c r="J303" s="9"/>
    </row>
    <row r="304" spans="1:10" ht="15" customHeight="1" x14ac:dyDescent="0.3">
      <c r="A304" s="10" t="s">
        <v>185</v>
      </c>
      <c r="B304" s="8">
        <v>46</v>
      </c>
      <c r="C304" s="7" t="s">
        <v>15</v>
      </c>
      <c r="D304" s="8">
        <v>1986</v>
      </c>
      <c r="E304" s="7"/>
      <c r="F304" s="7"/>
      <c r="G304" s="8"/>
      <c r="H304" s="8"/>
      <c r="I304" s="9">
        <v>0.18412037037036999</v>
      </c>
      <c r="J304" s="12">
        <f t="shared" ref="J304:J337" si="11">VALUE(SUBSTITUTE($A$304,"miles",""))/(I304*24)</f>
        <v>22.630123208448627</v>
      </c>
    </row>
    <row r="305" spans="1:10" ht="15" customHeight="1" x14ac:dyDescent="0.3">
      <c r="A305" s="10"/>
      <c r="B305" s="8">
        <v>47</v>
      </c>
      <c r="C305" s="7" t="s">
        <v>15</v>
      </c>
      <c r="D305" s="8">
        <v>1987</v>
      </c>
      <c r="E305" s="7"/>
      <c r="F305" s="7"/>
      <c r="G305" s="8"/>
      <c r="H305" s="8"/>
      <c r="I305" s="9">
        <v>0.184247685185185</v>
      </c>
      <c r="J305" s="12">
        <f t="shared" si="11"/>
        <v>22.614485834537366</v>
      </c>
    </row>
    <row r="306" spans="1:10" ht="15" customHeight="1" x14ac:dyDescent="0.3">
      <c r="A306" s="10"/>
      <c r="B306" s="8">
        <v>48</v>
      </c>
      <c r="C306" s="7" t="s">
        <v>13</v>
      </c>
      <c r="D306" s="8">
        <v>2000</v>
      </c>
      <c r="E306" s="7" t="s">
        <v>186</v>
      </c>
      <c r="F306" s="7"/>
      <c r="G306" s="8" t="s">
        <v>14</v>
      </c>
      <c r="H306" s="8"/>
      <c r="I306" s="9">
        <v>0.15733796296296301</v>
      </c>
      <c r="J306" s="12">
        <f t="shared" si="11"/>
        <v>26.482271590407525</v>
      </c>
    </row>
    <row r="307" spans="1:10" ht="15" customHeight="1" x14ac:dyDescent="0.3">
      <c r="A307" s="10"/>
      <c r="B307" s="8">
        <v>48</v>
      </c>
      <c r="C307" s="7" t="s">
        <v>15</v>
      </c>
      <c r="D307" s="8">
        <v>1988</v>
      </c>
      <c r="E307" s="7"/>
      <c r="F307" s="7"/>
      <c r="G307" s="8"/>
      <c r="H307" s="8"/>
      <c r="I307" s="9">
        <v>0.175625</v>
      </c>
      <c r="J307" s="12">
        <f t="shared" si="11"/>
        <v>23.724792408066431</v>
      </c>
    </row>
    <row r="308" spans="1:10" ht="15" customHeight="1" x14ac:dyDescent="0.3">
      <c r="A308" s="10"/>
      <c r="B308" s="8">
        <v>49</v>
      </c>
      <c r="C308" s="7" t="s">
        <v>15</v>
      </c>
      <c r="D308" s="8">
        <v>1989</v>
      </c>
      <c r="E308" s="7"/>
      <c r="F308" s="7"/>
      <c r="G308" s="8"/>
      <c r="H308" s="8"/>
      <c r="I308" s="9">
        <v>0.171724537037037</v>
      </c>
      <c r="J308" s="12">
        <f t="shared" si="11"/>
        <v>24.263665161420782</v>
      </c>
    </row>
    <row r="309" spans="1:10" ht="15" customHeight="1" x14ac:dyDescent="0.3">
      <c r="A309" s="10"/>
      <c r="B309" s="8">
        <v>50</v>
      </c>
      <c r="C309" s="7" t="s">
        <v>15</v>
      </c>
      <c r="D309" s="8">
        <v>1990</v>
      </c>
      <c r="E309" s="7"/>
      <c r="F309" s="7"/>
      <c r="G309" s="8"/>
      <c r="H309" s="8" t="s">
        <v>19</v>
      </c>
      <c r="I309" s="9">
        <v>0.164351851851852</v>
      </c>
      <c r="J309" s="12">
        <f t="shared" si="11"/>
        <v>25.352112676056315</v>
      </c>
    </row>
    <row r="310" spans="1:10" ht="15" customHeight="1" x14ac:dyDescent="0.3">
      <c r="A310" s="10"/>
      <c r="B310" s="8">
        <v>51</v>
      </c>
      <c r="C310" s="7" t="s">
        <v>15</v>
      </c>
      <c r="D310" s="8">
        <v>1991</v>
      </c>
      <c r="E310" s="7"/>
      <c r="F310" s="7"/>
      <c r="G310" s="8"/>
      <c r="H310" s="8" t="s">
        <v>19</v>
      </c>
      <c r="I310" s="9">
        <v>0.1640625</v>
      </c>
      <c r="J310" s="12">
        <f t="shared" si="11"/>
        <v>25.396825396825395</v>
      </c>
    </row>
    <row r="311" spans="1:10" ht="15" customHeight="1" x14ac:dyDescent="0.3">
      <c r="A311" s="10"/>
      <c r="B311" s="8">
        <v>53</v>
      </c>
      <c r="C311" s="7" t="s">
        <v>15</v>
      </c>
      <c r="D311" s="8">
        <v>1993</v>
      </c>
      <c r="E311" s="7"/>
      <c r="F311" s="7"/>
      <c r="G311" s="8"/>
      <c r="H311" s="8"/>
      <c r="I311" s="9">
        <v>0.171145833333333</v>
      </c>
      <c r="J311" s="12">
        <f t="shared" si="11"/>
        <v>24.345709068776674</v>
      </c>
    </row>
    <row r="312" spans="1:10" ht="15" customHeight="1" x14ac:dyDescent="0.3">
      <c r="A312" s="10"/>
      <c r="B312" s="8">
        <v>54</v>
      </c>
      <c r="C312" s="7" t="s">
        <v>13</v>
      </c>
      <c r="D312" s="8">
        <v>2006</v>
      </c>
      <c r="E312" s="7"/>
      <c r="F312" s="7"/>
      <c r="G312" s="8"/>
      <c r="H312" s="8" t="s">
        <v>19</v>
      </c>
      <c r="I312" s="9">
        <v>0.15730324074074101</v>
      </c>
      <c r="J312" s="12">
        <f t="shared" si="11"/>
        <v>26.488117136340179</v>
      </c>
    </row>
    <row r="313" spans="1:10" ht="15" customHeight="1" x14ac:dyDescent="0.3">
      <c r="A313" s="10"/>
      <c r="B313" s="8">
        <v>54</v>
      </c>
      <c r="C313" s="7" t="s">
        <v>15</v>
      </c>
      <c r="D313" s="8">
        <v>1994</v>
      </c>
      <c r="E313" s="7"/>
      <c r="F313" s="7"/>
      <c r="G313" s="8"/>
      <c r="H313" s="8"/>
      <c r="I313" s="9">
        <v>0.172951388888889</v>
      </c>
      <c r="J313" s="12">
        <f t="shared" si="11"/>
        <v>24.091547881951396</v>
      </c>
    </row>
    <row r="314" spans="1:10" ht="15" customHeight="1" x14ac:dyDescent="0.3">
      <c r="A314" s="10"/>
      <c r="B314" s="8">
        <v>55</v>
      </c>
      <c r="C314" s="7" t="s">
        <v>13</v>
      </c>
      <c r="D314" s="8">
        <v>2007</v>
      </c>
      <c r="E314" s="7"/>
      <c r="F314" s="7"/>
      <c r="G314" s="8" t="s">
        <v>14</v>
      </c>
      <c r="H314" s="8" t="s">
        <v>19</v>
      </c>
      <c r="I314" s="9">
        <v>0.15702546296296299</v>
      </c>
      <c r="J314" s="12">
        <f t="shared" si="11"/>
        <v>26.534974570649364</v>
      </c>
    </row>
    <row r="315" spans="1:10" ht="15" customHeight="1" x14ac:dyDescent="0.3">
      <c r="A315" s="10"/>
      <c r="B315" s="8">
        <v>55</v>
      </c>
      <c r="C315" s="7" t="s">
        <v>16</v>
      </c>
      <c r="D315" s="8">
        <v>1991</v>
      </c>
      <c r="E315" s="7"/>
      <c r="F315" s="7"/>
      <c r="G315" s="8"/>
      <c r="H315" s="8"/>
      <c r="I315" s="9">
        <v>0.176782407407407</v>
      </c>
      <c r="J315" s="12">
        <f t="shared" si="11"/>
        <v>23.569464449391177</v>
      </c>
    </row>
    <row r="316" spans="1:10" ht="15" customHeight="1" x14ac:dyDescent="0.3">
      <c r="A316" s="10"/>
      <c r="B316" s="8">
        <v>56</v>
      </c>
      <c r="C316" s="7" t="s">
        <v>13</v>
      </c>
      <c r="D316" s="8">
        <v>2008</v>
      </c>
      <c r="E316" s="7"/>
      <c r="F316" s="7"/>
      <c r="G316" s="8" t="s">
        <v>14</v>
      </c>
      <c r="H316" s="8" t="s">
        <v>19</v>
      </c>
      <c r="I316" s="9">
        <v>0.15733796296296301</v>
      </c>
      <c r="J316" s="12">
        <f t="shared" si="11"/>
        <v>26.482271590407525</v>
      </c>
    </row>
    <row r="317" spans="1:10" ht="15" customHeight="1" x14ac:dyDescent="0.3">
      <c r="A317" s="10"/>
      <c r="B317" s="8">
        <v>56</v>
      </c>
      <c r="C317" s="7" t="s">
        <v>13</v>
      </c>
      <c r="D317" s="8">
        <v>2008</v>
      </c>
      <c r="E317" s="7"/>
      <c r="F317" s="7"/>
      <c r="G317" s="8"/>
      <c r="H317" s="8"/>
      <c r="I317" s="9">
        <v>0.163564814814815</v>
      </c>
      <c r="J317" s="12">
        <f t="shared" si="11"/>
        <v>25.474101330314152</v>
      </c>
    </row>
    <row r="318" spans="1:10" ht="15" customHeight="1" x14ac:dyDescent="0.3">
      <c r="A318" s="10"/>
      <c r="B318" s="8">
        <v>56</v>
      </c>
      <c r="C318" s="7" t="s">
        <v>29</v>
      </c>
      <c r="D318" s="8">
        <v>1977</v>
      </c>
      <c r="E318" s="7"/>
      <c r="F318" s="7"/>
      <c r="G318" s="8"/>
      <c r="H318" s="8"/>
      <c r="I318" s="9">
        <v>0.19236111111111101</v>
      </c>
      <c r="J318" s="12">
        <f t="shared" si="11"/>
        <v>21.660649819494594</v>
      </c>
    </row>
    <row r="319" spans="1:10" ht="15" customHeight="1" x14ac:dyDescent="0.3">
      <c r="A319" s="10"/>
      <c r="B319" s="8">
        <v>57</v>
      </c>
      <c r="C319" s="7" t="s">
        <v>29</v>
      </c>
      <c r="D319" s="8">
        <v>1978</v>
      </c>
      <c r="E319" s="7"/>
      <c r="F319" s="7"/>
      <c r="G319" s="8"/>
      <c r="H319" s="8"/>
      <c r="I319" s="9">
        <v>0.193368055555556</v>
      </c>
      <c r="J319" s="12">
        <f t="shared" si="11"/>
        <v>21.547854192853247</v>
      </c>
    </row>
    <row r="320" spans="1:10" ht="15" customHeight="1" x14ac:dyDescent="0.3">
      <c r="A320" s="10"/>
      <c r="B320" s="8">
        <v>58</v>
      </c>
      <c r="C320" s="7" t="s">
        <v>29</v>
      </c>
      <c r="D320" s="8">
        <v>1979</v>
      </c>
      <c r="E320" s="7"/>
      <c r="F320" s="7"/>
      <c r="G320" s="8"/>
      <c r="H320" s="8"/>
      <c r="I320" s="9">
        <v>0.20043981481481499</v>
      </c>
      <c r="J320" s="12">
        <f t="shared" si="11"/>
        <v>20.787619817530874</v>
      </c>
    </row>
    <row r="321" spans="1:10" s="3" customFormat="1" ht="15" customHeight="1" x14ac:dyDescent="0.3">
      <c r="A321" s="10"/>
      <c r="B321" s="13">
        <v>59</v>
      </c>
      <c r="C321" s="10" t="s">
        <v>13</v>
      </c>
      <c r="D321" s="13" t="s">
        <v>187</v>
      </c>
      <c r="E321" s="10" t="s">
        <v>188</v>
      </c>
      <c r="F321" s="10" t="s">
        <v>128</v>
      </c>
      <c r="G321" s="13"/>
      <c r="H321" s="13" t="s">
        <v>39</v>
      </c>
      <c r="I321" s="11">
        <v>0.15593750000000001</v>
      </c>
      <c r="J321" s="14">
        <f t="shared" si="11"/>
        <v>26.720106880427519</v>
      </c>
    </row>
    <row r="322" spans="1:10" ht="15" customHeight="1" x14ac:dyDescent="0.3">
      <c r="A322" s="10"/>
      <c r="B322" s="8">
        <v>61</v>
      </c>
      <c r="C322" s="7" t="s">
        <v>29</v>
      </c>
      <c r="D322" s="8">
        <v>1982</v>
      </c>
      <c r="E322" s="7"/>
      <c r="F322" s="7"/>
      <c r="G322" s="8"/>
      <c r="H322" s="8"/>
      <c r="I322" s="9">
        <v>0.20030092592592599</v>
      </c>
      <c r="J322" s="12">
        <f t="shared" si="11"/>
        <v>20.802033976655487</v>
      </c>
    </row>
    <row r="323" spans="1:10" ht="15" customHeight="1" x14ac:dyDescent="0.3">
      <c r="A323" s="10"/>
      <c r="B323" s="8">
        <v>62</v>
      </c>
      <c r="C323" s="7" t="s">
        <v>13</v>
      </c>
      <c r="D323" s="8" t="s">
        <v>189</v>
      </c>
      <c r="E323" s="7" t="s">
        <v>188</v>
      </c>
      <c r="F323" s="7"/>
      <c r="G323" s="8" t="s">
        <v>14</v>
      </c>
      <c r="H323" s="8" t="s">
        <v>19</v>
      </c>
      <c r="I323" s="9">
        <v>0.15809027777777801</v>
      </c>
      <c r="J323" s="12">
        <f t="shared" si="11"/>
        <v>26.356248627278678</v>
      </c>
    </row>
    <row r="324" spans="1:10" ht="15" customHeight="1" x14ac:dyDescent="0.3">
      <c r="A324" s="10"/>
      <c r="B324" s="8">
        <v>62</v>
      </c>
      <c r="C324" s="7" t="s">
        <v>29</v>
      </c>
      <c r="D324" s="8">
        <v>1983</v>
      </c>
      <c r="E324" s="7"/>
      <c r="F324" s="7"/>
      <c r="G324" s="8"/>
      <c r="H324" s="8"/>
      <c r="I324" s="9">
        <v>0.20486111111111099</v>
      </c>
      <c r="J324" s="12">
        <f t="shared" si="11"/>
        <v>20.338983050847467</v>
      </c>
    </row>
    <row r="325" spans="1:10" ht="15" customHeight="1" x14ac:dyDescent="0.3">
      <c r="A325" s="10"/>
      <c r="B325" s="8">
        <v>63</v>
      </c>
      <c r="C325" s="7" t="s">
        <v>32</v>
      </c>
      <c r="D325" s="8">
        <v>1993</v>
      </c>
      <c r="E325" s="7"/>
      <c r="F325" s="7"/>
      <c r="G325" s="8"/>
      <c r="H325" s="8"/>
      <c r="I325" s="9">
        <v>0.186168981481482</v>
      </c>
      <c r="J325" s="12">
        <f t="shared" si="11"/>
        <v>22.381100404103137</v>
      </c>
    </row>
    <row r="326" spans="1:10" ht="15" customHeight="1" x14ac:dyDescent="0.3">
      <c r="A326" s="10"/>
      <c r="B326" s="8">
        <v>63</v>
      </c>
      <c r="C326" s="7" t="s">
        <v>29</v>
      </c>
      <c r="D326" s="8">
        <v>1984</v>
      </c>
      <c r="E326" s="7"/>
      <c r="F326" s="7"/>
      <c r="G326" s="8"/>
      <c r="H326" s="8"/>
      <c r="I326" s="9">
        <v>0.20206018518518501</v>
      </c>
      <c r="J326" s="12">
        <f t="shared" si="11"/>
        <v>20.620918776492168</v>
      </c>
    </row>
    <row r="327" spans="1:10" ht="15" customHeight="1" x14ac:dyDescent="0.3">
      <c r="A327" s="10"/>
      <c r="B327" s="8">
        <v>64</v>
      </c>
      <c r="C327" s="7" t="s">
        <v>13</v>
      </c>
      <c r="D327" s="8" t="s">
        <v>190</v>
      </c>
      <c r="E327" s="7" t="s">
        <v>188</v>
      </c>
      <c r="F327" s="7"/>
      <c r="G327" s="8"/>
      <c r="H327" s="8"/>
      <c r="I327" s="9">
        <v>0.162083333333333</v>
      </c>
      <c r="J327" s="12">
        <f t="shared" si="11"/>
        <v>25.706940874036043</v>
      </c>
    </row>
    <row r="328" spans="1:10" ht="15" customHeight="1" x14ac:dyDescent="0.3">
      <c r="A328" s="10"/>
      <c r="B328" s="8">
        <v>64</v>
      </c>
      <c r="C328" s="7" t="s">
        <v>29</v>
      </c>
      <c r="D328" s="8">
        <v>1985</v>
      </c>
      <c r="E328" s="7"/>
      <c r="F328" s="7"/>
      <c r="G328" s="8"/>
      <c r="H328" s="8"/>
      <c r="I328" s="9">
        <v>0.200277777777778</v>
      </c>
      <c r="J328" s="12">
        <f t="shared" si="11"/>
        <v>20.804438280166412</v>
      </c>
    </row>
    <row r="329" spans="1:10" ht="15" customHeight="1" x14ac:dyDescent="0.3">
      <c r="A329" s="10"/>
      <c r="B329" s="13">
        <v>65</v>
      </c>
      <c r="C329" s="10" t="s">
        <v>33</v>
      </c>
      <c r="D329" s="13" t="s">
        <v>54</v>
      </c>
      <c r="E329" s="10" t="s">
        <v>191</v>
      </c>
      <c r="F329" s="10"/>
      <c r="G329" s="13"/>
      <c r="H329" s="13" t="s">
        <v>39</v>
      </c>
      <c r="I329" s="11">
        <v>0.15771990740740699</v>
      </c>
      <c r="J329" s="14">
        <f t="shared" si="11"/>
        <v>26.418140456446832</v>
      </c>
    </row>
    <row r="330" spans="1:10" ht="15" customHeight="1" x14ac:dyDescent="0.3">
      <c r="A330" s="10"/>
      <c r="B330" s="8">
        <v>65</v>
      </c>
      <c r="C330" s="7" t="s">
        <v>13</v>
      </c>
      <c r="D330" s="8" t="s">
        <v>192</v>
      </c>
      <c r="E330" s="7" t="s">
        <v>188</v>
      </c>
      <c r="F330" s="7"/>
      <c r="G330" s="8" t="s">
        <v>14</v>
      </c>
      <c r="H330" s="8" t="s">
        <v>19</v>
      </c>
      <c r="I330" s="9">
        <v>0.16125</v>
      </c>
      <c r="J330" s="12">
        <f t="shared" si="11"/>
        <v>25.839793281653748</v>
      </c>
    </row>
    <row r="331" spans="1:10" ht="15" customHeight="1" x14ac:dyDescent="0.3">
      <c r="A331" s="10"/>
      <c r="B331" s="13">
        <v>66</v>
      </c>
      <c r="C331" s="10" t="s">
        <v>33</v>
      </c>
      <c r="D331" s="13" t="s">
        <v>21</v>
      </c>
      <c r="E331" s="10" t="s">
        <v>191</v>
      </c>
      <c r="F331" s="10"/>
      <c r="G331" s="13" t="s">
        <v>43</v>
      </c>
      <c r="H331" s="13" t="s">
        <v>39</v>
      </c>
      <c r="I331" s="11">
        <v>0.1590625</v>
      </c>
      <c r="J331" s="14">
        <f t="shared" si="11"/>
        <v>26.195153896529142</v>
      </c>
    </row>
    <row r="332" spans="1:10" ht="15" customHeight="1" x14ac:dyDescent="0.3">
      <c r="A332" s="10"/>
      <c r="B332" s="8">
        <v>66</v>
      </c>
      <c r="C332" s="7" t="s">
        <v>32</v>
      </c>
      <c r="D332" s="8" t="s">
        <v>193</v>
      </c>
      <c r="E332" s="7" t="s">
        <v>194</v>
      </c>
      <c r="F332" s="7"/>
      <c r="G332" s="8" t="s">
        <v>14</v>
      </c>
      <c r="H332" s="8"/>
      <c r="I332" s="9">
        <v>0.17837962962963</v>
      </c>
      <c r="J332" s="12">
        <f t="shared" si="11"/>
        <v>23.358422008824245</v>
      </c>
    </row>
    <row r="333" spans="1:10" ht="15.6" x14ac:dyDescent="0.3">
      <c r="A333" s="10"/>
      <c r="B333" s="8">
        <v>66</v>
      </c>
      <c r="C333" s="7" t="s">
        <v>48</v>
      </c>
      <c r="D333" s="8">
        <v>1993</v>
      </c>
      <c r="E333" s="7"/>
      <c r="F333" s="7"/>
      <c r="G333" s="8"/>
      <c r="H333" s="8" t="s">
        <v>19</v>
      </c>
      <c r="I333" s="9">
        <v>0.18895833333333301</v>
      </c>
      <c r="J333" s="12">
        <f t="shared" si="11"/>
        <v>22.050716648291107</v>
      </c>
    </row>
    <row r="334" spans="1:10" ht="15.6" x14ac:dyDescent="0.3">
      <c r="A334" s="10"/>
      <c r="B334" s="8">
        <v>66</v>
      </c>
      <c r="C334" s="7" t="s">
        <v>29</v>
      </c>
      <c r="D334" s="8">
        <v>1987</v>
      </c>
      <c r="E334" s="7"/>
      <c r="F334" s="7"/>
      <c r="G334" s="8"/>
      <c r="H334" s="8" t="s">
        <v>19</v>
      </c>
      <c r="I334" s="9">
        <v>0.205914351851852</v>
      </c>
      <c r="J334" s="12">
        <f t="shared" si="11"/>
        <v>20.234950255747275</v>
      </c>
    </row>
    <row r="335" spans="1:10" ht="15.6" x14ac:dyDescent="0.3">
      <c r="A335" s="10"/>
      <c r="B335" s="13">
        <v>67</v>
      </c>
      <c r="C335" s="10" t="s">
        <v>56</v>
      </c>
      <c r="D335" s="13" t="s">
        <v>195</v>
      </c>
      <c r="E335" s="10" t="s">
        <v>196</v>
      </c>
      <c r="F335" s="10"/>
      <c r="G335" s="8"/>
      <c r="H335" s="8"/>
      <c r="I335" s="11">
        <v>0.20568287037037</v>
      </c>
      <c r="J335" s="14">
        <f t="shared" si="11"/>
        <v>20.257723256991767</v>
      </c>
    </row>
    <row r="336" spans="1:10" ht="15.6" x14ac:dyDescent="0.3">
      <c r="A336" s="10"/>
      <c r="B336" s="8">
        <v>67</v>
      </c>
      <c r="C336" s="7" t="s">
        <v>29</v>
      </c>
      <c r="D336" s="8">
        <v>1988</v>
      </c>
      <c r="E336" s="7"/>
      <c r="F336" s="7"/>
      <c r="G336" s="8"/>
      <c r="H336" s="8" t="s">
        <v>19</v>
      </c>
      <c r="I336" s="9">
        <v>0.205798611111111</v>
      </c>
      <c r="J336" s="12">
        <f t="shared" si="11"/>
        <v>20.246330352623598</v>
      </c>
    </row>
    <row r="337" spans="1:10" ht="15.6" x14ac:dyDescent="0.3">
      <c r="A337" s="10"/>
      <c r="B337" s="13">
        <v>69</v>
      </c>
      <c r="C337" s="10" t="s">
        <v>56</v>
      </c>
      <c r="D337" s="13" t="s">
        <v>197</v>
      </c>
      <c r="E337" s="10" t="s">
        <v>198</v>
      </c>
      <c r="F337" s="10"/>
      <c r="G337" s="8"/>
      <c r="H337" s="8"/>
      <c r="I337" s="11">
        <v>0.21414351851851801</v>
      </c>
      <c r="J337" s="14">
        <f t="shared" si="11"/>
        <v>19.45735596151772</v>
      </c>
    </row>
    <row r="338" spans="1:10" ht="9" customHeight="1" x14ac:dyDescent="0.3">
      <c r="A338" s="10"/>
      <c r="B338" s="8"/>
      <c r="C338" s="7"/>
      <c r="D338" s="8"/>
      <c r="E338" s="7"/>
      <c r="F338" s="7"/>
      <c r="G338" s="8"/>
      <c r="H338" s="8"/>
      <c r="I338" s="9"/>
      <c r="J338" s="9"/>
    </row>
    <row r="339" spans="1:10" ht="15.6" x14ac:dyDescent="0.3">
      <c r="A339" s="10" t="s">
        <v>199</v>
      </c>
      <c r="B339" s="8">
        <v>49</v>
      </c>
      <c r="C339" s="7" t="s">
        <v>15</v>
      </c>
      <c r="D339" s="8">
        <v>1989</v>
      </c>
      <c r="E339" s="7"/>
      <c r="F339" s="7"/>
      <c r="G339" s="8"/>
      <c r="H339" s="8"/>
      <c r="I339" s="20" t="s">
        <v>200</v>
      </c>
      <c r="J339" s="12">
        <f t="shared" ref="J339:J350" si="12">VALUE(SUBSTITUTE(I339,"m",""))/VALUE(SUBSTITUTE($A$339,"hours",""))</f>
        <v>19.745833333333334</v>
      </c>
    </row>
    <row r="340" spans="1:10" ht="15.6" x14ac:dyDescent="0.3">
      <c r="A340" s="10"/>
      <c r="B340" s="8">
        <v>50</v>
      </c>
      <c r="C340" s="7" t="s">
        <v>15</v>
      </c>
      <c r="D340" s="8">
        <v>1990</v>
      </c>
      <c r="E340" s="7"/>
      <c r="F340" s="7"/>
      <c r="G340" s="8"/>
      <c r="H340" s="8" t="s">
        <v>19</v>
      </c>
      <c r="I340" s="20" t="s">
        <v>201</v>
      </c>
      <c r="J340" s="12">
        <f t="shared" si="12"/>
        <v>21.0625</v>
      </c>
    </row>
    <row r="341" spans="1:10" ht="15.6" x14ac:dyDescent="0.3">
      <c r="A341" s="10"/>
      <c r="B341" s="8">
        <v>51</v>
      </c>
      <c r="C341" s="7" t="s">
        <v>15</v>
      </c>
      <c r="D341" s="8">
        <v>1991</v>
      </c>
      <c r="E341" s="7"/>
      <c r="F341" s="7"/>
      <c r="G341" s="8"/>
      <c r="H341" s="8" t="s">
        <v>19</v>
      </c>
      <c r="I341" s="20" t="s">
        <v>202</v>
      </c>
      <c r="J341" s="12">
        <f t="shared" si="12"/>
        <v>21.7225</v>
      </c>
    </row>
    <row r="342" spans="1:10" ht="15.6" x14ac:dyDescent="0.3">
      <c r="A342" s="10"/>
      <c r="B342" s="8">
        <v>53</v>
      </c>
      <c r="C342" s="7" t="s">
        <v>15</v>
      </c>
      <c r="D342" s="8">
        <v>1993</v>
      </c>
      <c r="E342" s="7"/>
      <c r="F342" s="7"/>
      <c r="G342" s="8"/>
      <c r="H342" s="8"/>
      <c r="I342" s="20" t="s">
        <v>203</v>
      </c>
      <c r="J342" s="12">
        <f t="shared" si="12"/>
        <v>20.705833333333334</v>
      </c>
    </row>
    <row r="343" spans="1:10" s="3" customFormat="1" ht="15.6" x14ac:dyDescent="0.3">
      <c r="A343" s="10"/>
      <c r="B343" s="13">
        <v>55</v>
      </c>
      <c r="C343" s="10" t="s">
        <v>13</v>
      </c>
      <c r="D343" s="13" t="s">
        <v>204</v>
      </c>
      <c r="E343" s="10" t="s">
        <v>205</v>
      </c>
      <c r="F343" s="10" t="s">
        <v>128</v>
      </c>
      <c r="G343" s="13" t="s">
        <v>14</v>
      </c>
      <c r="H343" s="13" t="s">
        <v>39</v>
      </c>
      <c r="I343" s="21" t="s">
        <v>206</v>
      </c>
      <c r="J343" s="14">
        <f t="shared" si="12"/>
        <v>23.591666666666669</v>
      </c>
    </row>
    <row r="344" spans="1:10" ht="15.6" x14ac:dyDescent="0.3">
      <c r="A344" s="10"/>
      <c r="B344" s="8">
        <v>56</v>
      </c>
      <c r="C344" s="7" t="s">
        <v>13</v>
      </c>
      <c r="D344" s="8">
        <v>2008</v>
      </c>
      <c r="E344" s="7"/>
      <c r="F344" s="7"/>
      <c r="G344" s="8" t="s">
        <v>14</v>
      </c>
      <c r="H344" s="8"/>
      <c r="I344" s="20" t="s">
        <v>207</v>
      </c>
      <c r="J344" s="12">
        <f t="shared" si="12"/>
        <v>23.38</v>
      </c>
    </row>
    <row r="345" spans="1:10" s="3" customFormat="1" ht="15.6" x14ac:dyDescent="0.3">
      <c r="A345" s="10"/>
      <c r="B345" s="13">
        <v>58</v>
      </c>
      <c r="C345" s="10" t="s">
        <v>13</v>
      </c>
      <c r="D345" s="13" t="s">
        <v>208</v>
      </c>
      <c r="E345" s="10" t="s">
        <v>209</v>
      </c>
      <c r="F345" s="10"/>
      <c r="G345" s="13" t="s">
        <v>14</v>
      </c>
      <c r="H345" s="13" t="s">
        <v>39</v>
      </c>
      <c r="I345" s="21" t="s">
        <v>210</v>
      </c>
      <c r="J345" s="14">
        <f t="shared" si="12"/>
        <v>23.380833333333332</v>
      </c>
    </row>
    <row r="346" spans="1:10" ht="15.6" x14ac:dyDescent="0.3">
      <c r="A346" s="10"/>
      <c r="B346" s="8">
        <v>58</v>
      </c>
      <c r="C346" s="7" t="s">
        <v>29</v>
      </c>
      <c r="D346" s="8">
        <v>1979</v>
      </c>
      <c r="E346" s="7"/>
      <c r="F346" s="7"/>
      <c r="G346" s="8"/>
      <c r="H346" s="8" t="s">
        <v>19</v>
      </c>
      <c r="I346" s="20" t="s">
        <v>211</v>
      </c>
      <c r="J346" s="12">
        <f t="shared" si="12"/>
        <v>19.724999999999998</v>
      </c>
    </row>
    <row r="347" spans="1:10" s="3" customFormat="1" ht="15.6" x14ac:dyDescent="0.3">
      <c r="A347" s="10"/>
      <c r="B347" s="13">
        <v>61</v>
      </c>
      <c r="C347" s="10" t="s">
        <v>13</v>
      </c>
      <c r="D347" s="13" t="s">
        <v>212</v>
      </c>
      <c r="E347" s="10" t="s">
        <v>209</v>
      </c>
      <c r="F347" s="10"/>
      <c r="G347" s="13" t="s">
        <v>14</v>
      </c>
      <c r="H347" s="13" t="s">
        <v>39</v>
      </c>
      <c r="I347" s="21" t="s">
        <v>213</v>
      </c>
      <c r="J347" s="14">
        <f t="shared" si="12"/>
        <v>22.921666666666667</v>
      </c>
    </row>
    <row r="348" spans="1:10" ht="15.6" x14ac:dyDescent="0.3">
      <c r="A348" s="10"/>
      <c r="B348" s="8">
        <v>61</v>
      </c>
      <c r="C348" s="7" t="s">
        <v>214</v>
      </c>
      <c r="D348" s="8" t="s">
        <v>215</v>
      </c>
      <c r="E348" s="7"/>
      <c r="F348" s="7" t="s">
        <v>216</v>
      </c>
      <c r="G348" s="8"/>
      <c r="H348" s="8"/>
      <c r="I348" s="20" t="s">
        <v>217</v>
      </c>
      <c r="J348" s="12">
        <f t="shared" si="12"/>
        <v>19.75</v>
      </c>
    </row>
    <row r="349" spans="1:10" ht="15.6" x14ac:dyDescent="0.3">
      <c r="A349" s="10"/>
      <c r="B349" s="8">
        <v>61</v>
      </c>
      <c r="C349" s="7" t="s">
        <v>29</v>
      </c>
      <c r="D349" s="8">
        <v>1982</v>
      </c>
      <c r="E349" s="7"/>
      <c r="F349" s="7"/>
      <c r="G349" s="8"/>
      <c r="H349" s="8" t="s">
        <v>19</v>
      </c>
      <c r="I349" s="20" t="s">
        <v>218</v>
      </c>
      <c r="J349" s="12">
        <f t="shared" si="12"/>
        <v>18.594999999999999</v>
      </c>
    </row>
    <row r="350" spans="1:10" s="3" customFormat="1" ht="15.6" x14ac:dyDescent="0.3">
      <c r="A350" s="10"/>
      <c r="B350" s="13">
        <v>66</v>
      </c>
      <c r="C350" s="10" t="s">
        <v>48</v>
      </c>
      <c r="D350" s="13" t="s">
        <v>219</v>
      </c>
      <c r="E350" s="10" t="s">
        <v>220</v>
      </c>
      <c r="F350" s="10"/>
      <c r="G350" s="13"/>
      <c r="H350" s="13" t="s">
        <v>39</v>
      </c>
      <c r="I350" s="21" t="s">
        <v>221</v>
      </c>
      <c r="J350" s="14">
        <f t="shared" si="12"/>
        <v>18.899166666666666</v>
      </c>
    </row>
    <row r="351" spans="1:10" ht="9" customHeight="1" x14ac:dyDescent="0.3">
      <c r="A351" s="10"/>
      <c r="B351" s="8"/>
      <c r="C351" s="7"/>
      <c r="D351" s="8"/>
      <c r="E351" s="7"/>
      <c r="F351" s="7"/>
      <c r="G351" s="8"/>
      <c r="H351" s="8"/>
      <c r="I351" s="20"/>
      <c r="J351" s="20"/>
    </row>
    <row r="352" spans="1:10" s="3" customFormat="1" ht="15.6" x14ac:dyDescent="0.3">
      <c r="A352" s="10" t="s">
        <v>222</v>
      </c>
      <c r="B352" s="13">
        <v>44</v>
      </c>
      <c r="C352" s="10" t="s">
        <v>223</v>
      </c>
      <c r="D352" s="13" t="s">
        <v>224</v>
      </c>
      <c r="E352" s="10" t="s">
        <v>225</v>
      </c>
      <c r="F352" s="10"/>
      <c r="G352" s="8"/>
      <c r="H352" s="8"/>
      <c r="I352" s="21" t="s">
        <v>226</v>
      </c>
      <c r="J352" s="14">
        <f>VALUE(SUBSTITUTE(I352,"m",""))/VALUE(SUBSTITUTE($A$352,"hours",""))</f>
        <v>16.609583333333333</v>
      </c>
    </row>
    <row r="353" spans="1:12" ht="15.6" x14ac:dyDescent="0.3">
      <c r="A353" s="10"/>
      <c r="B353" s="8">
        <v>45</v>
      </c>
      <c r="C353" s="7" t="s">
        <v>223</v>
      </c>
      <c r="D353" s="8">
        <v>1994</v>
      </c>
      <c r="E353" s="7"/>
      <c r="F353" s="7"/>
      <c r="G353" s="8"/>
      <c r="H353" s="8"/>
      <c r="I353" s="20" t="s">
        <v>227</v>
      </c>
      <c r="J353" s="12">
        <f>VALUE(SUBSTITUTE(I353,"m",""))/VALUE(SUBSTITUTE($A$352,"hours",""))</f>
        <v>15.588749999999999</v>
      </c>
    </row>
    <row r="354" spans="1:12" s="3" customFormat="1" ht="15.6" x14ac:dyDescent="0.3">
      <c r="A354" s="10"/>
      <c r="B354" s="13">
        <v>46</v>
      </c>
      <c r="C354" s="10" t="s">
        <v>223</v>
      </c>
      <c r="D354" s="13" t="s">
        <v>228</v>
      </c>
      <c r="E354" s="10" t="s">
        <v>229</v>
      </c>
      <c r="F354" s="10"/>
      <c r="G354" s="8"/>
      <c r="H354" s="8"/>
      <c r="I354" s="21" t="s">
        <v>230</v>
      </c>
      <c r="J354" s="14">
        <f>VALUE(SUBSTITUTE(I354,"m",""))/VALUE(SUBSTITUTE($A$352,"hours",""))</f>
        <v>16.129166666666666</v>
      </c>
    </row>
    <row r="355" spans="1:12" s="3" customFormat="1" ht="15.6" x14ac:dyDescent="0.3">
      <c r="A355" s="10"/>
      <c r="B355" s="13">
        <v>61</v>
      </c>
      <c r="C355" s="10" t="s">
        <v>56</v>
      </c>
      <c r="D355" s="13" t="s">
        <v>231</v>
      </c>
      <c r="E355" s="10" t="s">
        <v>232</v>
      </c>
      <c r="F355" s="10"/>
      <c r="G355" s="8"/>
      <c r="H355" s="8"/>
      <c r="I355" s="21" t="s">
        <v>233</v>
      </c>
      <c r="J355" s="14">
        <f>VALUE(SUBSTITUTE(I355,"m",""))/VALUE(SUBSTITUTE($A$352,"hours",""))</f>
        <v>15.02875</v>
      </c>
    </row>
    <row r="356" spans="1:12" ht="15.6" x14ac:dyDescent="0.3">
      <c r="A356" s="10"/>
      <c r="B356" s="8"/>
      <c r="C356" s="7"/>
      <c r="D356" s="8"/>
      <c r="E356" s="7"/>
      <c r="F356" s="7"/>
      <c r="G356" s="8"/>
      <c r="H356" s="8"/>
      <c r="I356" s="20"/>
      <c r="J356" s="20"/>
    </row>
    <row r="357" spans="1:12" ht="15.6" x14ac:dyDescent="0.3">
      <c r="A357" s="10" t="s">
        <v>234</v>
      </c>
      <c r="B357" s="8"/>
      <c r="C357" s="7"/>
      <c r="D357" s="8"/>
      <c r="E357" s="7"/>
      <c r="F357" s="7"/>
      <c r="G357" s="8"/>
      <c r="H357" s="8"/>
      <c r="I357" s="9"/>
      <c r="J357" s="9"/>
    </row>
    <row r="358" spans="1:12" ht="15.6" x14ac:dyDescent="0.3">
      <c r="A358" s="10"/>
      <c r="B358" s="8"/>
      <c r="C358" s="7"/>
      <c r="E358" s="7"/>
      <c r="F358" s="7"/>
      <c r="G358" s="8"/>
      <c r="H358" s="8"/>
      <c r="I358" s="9"/>
      <c r="J358" s="9"/>
    </row>
    <row r="359" spans="1:12" ht="15.6" x14ac:dyDescent="0.3">
      <c r="A359" s="10" t="s">
        <v>8</v>
      </c>
      <c r="B359" s="8">
        <v>42</v>
      </c>
      <c r="C359" s="7" t="s">
        <v>235</v>
      </c>
      <c r="D359" s="8" t="s">
        <v>236</v>
      </c>
      <c r="E359" s="7" t="s">
        <v>237</v>
      </c>
      <c r="F359" s="7"/>
      <c r="G359" s="8"/>
      <c r="H359" s="8"/>
      <c r="I359" s="9">
        <v>1.7129629629629599E-2</v>
      </c>
      <c r="J359" s="12">
        <f>VALUE(SUBSTITUTE($A$359,"miles",""))/(I359*24)</f>
        <v>24.324324324324369</v>
      </c>
    </row>
    <row r="360" spans="1:12" ht="15.6" x14ac:dyDescent="0.3">
      <c r="A360" s="10"/>
      <c r="B360" s="8">
        <v>50</v>
      </c>
      <c r="C360" s="7" t="s">
        <v>238</v>
      </c>
      <c r="D360" s="8" t="s">
        <v>239</v>
      </c>
      <c r="E360" s="7" t="s">
        <v>240</v>
      </c>
      <c r="F360" s="7"/>
      <c r="G360" s="8"/>
      <c r="H360" s="8"/>
      <c r="I360" s="9">
        <v>1.9560185185185201E-2</v>
      </c>
      <c r="J360" s="12">
        <f>VALUE(SUBSTITUTE($A$359,"miles",""))/(I360*24)</f>
        <v>21.301775147928975</v>
      </c>
    </row>
    <row r="361" spans="1:12" ht="15.6" x14ac:dyDescent="0.3">
      <c r="A361" s="10"/>
      <c r="B361" s="25">
        <v>53</v>
      </c>
      <c r="C361" s="26" t="s">
        <v>241</v>
      </c>
      <c r="D361" s="25" t="s">
        <v>242</v>
      </c>
      <c r="E361" s="26" t="s">
        <v>243</v>
      </c>
      <c r="F361" s="26"/>
      <c r="G361" s="25"/>
      <c r="H361" s="25"/>
      <c r="I361" s="27">
        <v>1.6331018518518502E-2</v>
      </c>
      <c r="J361" s="28">
        <f>VALUE(SUBSTITUTE($A$359,"miles",""))/(I361*24)</f>
        <v>25.51381998582568</v>
      </c>
    </row>
    <row r="362" spans="1:12" s="3" customFormat="1" ht="15.6" x14ac:dyDescent="0.3">
      <c r="A362" s="10"/>
      <c r="B362" s="13">
        <v>64</v>
      </c>
      <c r="C362" s="10" t="s">
        <v>295</v>
      </c>
      <c r="D362" s="13" t="s">
        <v>296</v>
      </c>
      <c r="E362" s="10" t="s">
        <v>11</v>
      </c>
      <c r="F362" s="10"/>
      <c r="G362" s="10"/>
      <c r="H362" s="13" t="s">
        <v>39</v>
      </c>
      <c r="I362" s="19">
        <v>1.5729166666666666E-2</v>
      </c>
      <c r="J362" s="28">
        <f>VALUE(SUBSTITUTE($A$359,"miles",""))/(I362*24)</f>
        <v>26.490066225165567</v>
      </c>
    </row>
    <row r="363" spans="1:12" ht="9" customHeight="1" x14ac:dyDescent="0.3">
      <c r="A363" s="10"/>
      <c r="B363" s="8"/>
      <c r="C363" s="7"/>
      <c r="D363" s="8"/>
      <c r="E363" s="7"/>
      <c r="F363" s="7"/>
      <c r="G363" s="8"/>
      <c r="H363" s="8"/>
      <c r="I363" s="9"/>
      <c r="J363" s="9"/>
    </row>
    <row r="364" spans="1:12" ht="15" customHeight="1" x14ac:dyDescent="0.3">
      <c r="A364" s="10" t="s">
        <v>66</v>
      </c>
      <c r="B364" s="13">
        <v>57</v>
      </c>
      <c r="C364" s="10" t="s">
        <v>241</v>
      </c>
      <c r="D364" s="13" t="s">
        <v>244</v>
      </c>
      <c r="E364" s="10" t="s">
        <v>68</v>
      </c>
      <c r="F364" s="10" t="s">
        <v>128</v>
      </c>
      <c r="G364" s="13"/>
      <c r="H364" s="13"/>
      <c r="I364" s="11">
        <v>2.6736111111111099E-2</v>
      </c>
      <c r="J364" s="14">
        <f>VALUE(SUBSTITUTE($A$364,"miles",""))/(I364*24)</f>
        <v>23.376623376623385</v>
      </c>
    </row>
    <row r="365" spans="1:12" ht="9" customHeight="1" x14ac:dyDescent="0.3">
      <c r="A365" s="10"/>
      <c r="B365" s="8"/>
      <c r="C365" s="7"/>
      <c r="D365" s="8"/>
      <c r="E365" s="7"/>
      <c r="F365" s="7"/>
      <c r="G365" s="8"/>
      <c r="H365" s="8"/>
      <c r="I365" s="9"/>
      <c r="J365" s="9"/>
    </row>
    <row r="366" spans="1:12" ht="15.6" x14ac:dyDescent="0.3">
      <c r="A366" s="10" t="s">
        <v>80</v>
      </c>
      <c r="B366" s="8">
        <v>49</v>
      </c>
      <c r="C366" s="7" t="s">
        <v>238</v>
      </c>
      <c r="D366" s="8" t="s">
        <v>245</v>
      </c>
      <c r="E366" s="7" t="s">
        <v>99</v>
      </c>
      <c r="F366" s="7"/>
      <c r="G366" s="8"/>
      <c r="H366" s="8"/>
      <c r="I366" s="9">
        <v>4.5219907407407403E-2</v>
      </c>
      <c r="J366" s="12">
        <f>VALUE(SUBSTITUTE($A$366,"miles",""))/(I366*24)</f>
        <v>23.035577169183515</v>
      </c>
      <c r="L366" s="22"/>
    </row>
    <row r="367" spans="1:12" s="3" customFormat="1" ht="15.6" x14ac:dyDescent="0.3">
      <c r="A367" s="10"/>
      <c r="B367" s="13">
        <v>53</v>
      </c>
      <c r="C367" s="10" t="s">
        <v>241</v>
      </c>
      <c r="D367" s="13" t="s">
        <v>67</v>
      </c>
      <c r="E367" s="10" t="s">
        <v>84</v>
      </c>
      <c r="F367" s="10"/>
      <c r="G367" s="8"/>
      <c r="H367" s="8"/>
      <c r="I367" s="11">
        <v>4.3124999999999997E-2</v>
      </c>
      <c r="J367" s="14">
        <f>VALUE(SUBSTITUTE($A$366,"miles",""))/(I367*24)</f>
        <v>24.154589371980677</v>
      </c>
    </row>
    <row r="368" spans="1:12" ht="15.6" x14ac:dyDescent="0.3">
      <c r="A368" s="10"/>
      <c r="B368" s="8"/>
      <c r="C368" s="7"/>
      <c r="D368" s="8"/>
      <c r="E368" s="7"/>
      <c r="F368" s="7"/>
      <c r="G368" s="8"/>
      <c r="H368" s="8"/>
      <c r="I368" s="9"/>
      <c r="J368" s="9"/>
    </row>
    <row r="369" spans="1:10" ht="15.6" x14ac:dyDescent="0.3">
      <c r="A369" s="10" t="s">
        <v>246</v>
      </c>
      <c r="B369" s="8"/>
      <c r="C369" s="7"/>
      <c r="D369" s="8"/>
      <c r="E369" s="7"/>
      <c r="F369" s="7"/>
      <c r="G369" s="8"/>
      <c r="H369" s="8"/>
      <c r="I369" s="9"/>
      <c r="J369" s="9"/>
    </row>
    <row r="370" spans="1:10" ht="15.6" x14ac:dyDescent="0.3">
      <c r="A370" s="10"/>
      <c r="B370" s="8"/>
      <c r="C370" s="7"/>
      <c r="D370" s="8"/>
      <c r="E370" s="7"/>
      <c r="F370" s="7"/>
      <c r="G370" s="8"/>
      <c r="H370" s="8"/>
      <c r="I370" s="9"/>
      <c r="J370" s="9"/>
    </row>
    <row r="371" spans="1:10" ht="15.6" x14ac:dyDescent="0.3">
      <c r="A371" s="10" t="s">
        <v>8</v>
      </c>
      <c r="B371" s="8">
        <v>52</v>
      </c>
      <c r="C371" s="7" t="s">
        <v>12</v>
      </c>
      <c r="D371" s="8">
        <v>1989</v>
      </c>
      <c r="E371" s="7"/>
      <c r="F371" s="7"/>
      <c r="G371" s="8"/>
      <c r="H371" s="8"/>
      <c r="I371" s="9">
        <v>1.7418981481481501E-2</v>
      </c>
      <c r="J371" s="12">
        <f t="shared" ref="J371:J383" si="13">VALUE(SUBSTITUTE($A$371,"miles",""))/(I371*24)</f>
        <v>23.920265780730873</v>
      </c>
    </row>
    <row r="372" spans="1:10" s="3" customFormat="1" ht="15.6" x14ac:dyDescent="0.3">
      <c r="A372" s="10"/>
      <c r="B372" s="13">
        <v>53</v>
      </c>
      <c r="C372" s="10" t="s">
        <v>12</v>
      </c>
      <c r="D372" s="13" t="s">
        <v>247</v>
      </c>
      <c r="E372" s="10" t="s">
        <v>248</v>
      </c>
      <c r="F372" s="10" t="s">
        <v>128</v>
      </c>
      <c r="G372" s="13"/>
      <c r="H372" s="13"/>
      <c r="I372" s="11">
        <v>1.7291666666666702E-2</v>
      </c>
      <c r="J372" s="14">
        <f t="shared" si="13"/>
        <v>24.096385542168626</v>
      </c>
    </row>
    <row r="373" spans="1:10" ht="15.6" x14ac:dyDescent="0.3">
      <c r="A373" s="10"/>
      <c r="B373" s="8">
        <v>55</v>
      </c>
      <c r="C373" s="7" t="s">
        <v>12</v>
      </c>
      <c r="D373" s="8">
        <v>1992</v>
      </c>
      <c r="E373" s="7"/>
      <c r="F373" s="7"/>
      <c r="G373" s="8"/>
      <c r="H373" s="8"/>
      <c r="I373" s="9">
        <v>1.8668981481481502E-2</v>
      </c>
      <c r="J373" s="12">
        <f t="shared" si="13"/>
        <v>22.318660880347156</v>
      </c>
    </row>
    <row r="374" spans="1:10" s="3" customFormat="1" ht="15.6" x14ac:dyDescent="0.3">
      <c r="A374" s="10"/>
      <c r="B374" s="13">
        <v>60</v>
      </c>
      <c r="C374" s="10" t="s">
        <v>214</v>
      </c>
      <c r="D374" s="13" t="s">
        <v>249</v>
      </c>
      <c r="E374" s="10" t="s">
        <v>250</v>
      </c>
      <c r="F374" s="10"/>
      <c r="G374" s="13"/>
      <c r="H374" s="13"/>
      <c r="I374" s="11">
        <v>1.7986111111111099E-2</v>
      </c>
      <c r="J374" s="14">
        <f t="shared" si="13"/>
        <v>23.166023166023184</v>
      </c>
    </row>
    <row r="375" spans="1:10" ht="15.6" x14ac:dyDescent="0.3">
      <c r="A375" s="10"/>
      <c r="B375" s="8">
        <v>64</v>
      </c>
      <c r="C375" s="7" t="s">
        <v>29</v>
      </c>
      <c r="D375" s="8">
        <v>1985</v>
      </c>
      <c r="E375" s="7"/>
      <c r="F375" s="7"/>
      <c r="G375" s="8"/>
      <c r="H375" s="8" t="s">
        <v>19</v>
      </c>
      <c r="I375" s="9">
        <v>2.0254629629629602E-2</v>
      </c>
      <c r="J375" s="12">
        <f t="shared" si="13"/>
        <v>20.571428571428601</v>
      </c>
    </row>
    <row r="376" spans="1:10" ht="15.6" x14ac:dyDescent="0.3">
      <c r="A376" s="10"/>
      <c r="B376" s="8">
        <v>65</v>
      </c>
      <c r="C376" s="7" t="s">
        <v>29</v>
      </c>
      <c r="D376" s="8">
        <v>1986</v>
      </c>
      <c r="E376" s="7"/>
      <c r="F376" s="7"/>
      <c r="G376" s="8"/>
      <c r="H376" s="8" t="s">
        <v>19</v>
      </c>
      <c r="I376" s="9">
        <v>2.0567129629629598E-2</v>
      </c>
      <c r="J376" s="12">
        <f t="shared" si="13"/>
        <v>20.258863252673077</v>
      </c>
    </row>
    <row r="377" spans="1:10" ht="15.6" x14ac:dyDescent="0.3">
      <c r="A377" s="10"/>
      <c r="B377" s="8">
        <v>69</v>
      </c>
      <c r="C377" s="7" t="s">
        <v>29</v>
      </c>
      <c r="D377" s="8">
        <v>1990</v>
      </c>
      <c r="E377" s="7"/>
      <c r="F377" s="7"/>
      <c r="G377" s="8"/>
      <c r="H377" s="8" t="s">
        <v>19</v>
      </c>
      <c r="I377" s="9">
        <v>2.15740740740741E-2</v>
      </c>
      <c r="J377" s="12">
        <f t="shared" si="13"/>
        <v>19.313304721030022</v>
      </c>
    </row>
    <row r="378" spans="1:10" ht="15.6" x14ac:dyDescent="0.3">
      <c r="A378" s="10"/>
      <c r="B378" s="8">
        <v>71</v>
      </c>
      <c r="C378" s="7" t="s">
        <v>29</v>
      </c>
      <c r="D378" s="8">
        <v>1992</v>
      </c>
      <c r="E378" s="7"/>
      <c r="F378" s="7"/>
      <c r="G378" s="8"/>
      <c r="H378" s="8" t="s">
        <v>19</v>
      </c>
      <c r="I378" s="9">
        <v>2.1516203703703701E-2</v>
      </c>
      <c r="J378" s="12">
        <f t="shared" si="13"/>
        <v>19.365250134480906</v>
      </c>
    </row>
    <row r="379" spans="1:10" ht="15.6" x14ac:dyDescent="0.3">
      <c r="A379" s="10"/>
      <c r="B379" s="8">
        <v>72</v>
      </c>
      <c r="C379" s="7" t="s">
        <v>29</v>
      </c>
      <c r="D379" s="8">
        <v>1993</v>
      </c>
      <c r="E379" s="7"/>
      <c r="F379" s="7"/>
      <c r="G379" s="8"/>
      <c r="H379" s="8"/>
      <c r="I379" s="9">
        <v>2.1736111111111098E-2</v>
      </c>
      <c r="J379" s="12">
        <f t="shared" si="13"/>
        <v>19.169329073482437</v>
      </c>
    </row>
    <row r="380" spans="1:10" s="3" customFormat="1" ht="15.6" x14ac:dyDescent="0.3">
      <c r="A380" s="10"/>
      <c r="B380" s="13">
        <v>76</v>
      </c>
      <c r="C380" s="10" t="s">
        <v>214</v>
      </c>
      <c r="D380" s="13" t="s">
        <v>251</v>
      </c>
      <c r="E380" s="10"/>
      <c r="F380" s="10"/>
      <c r="G380" s="8"/>
      <c r="H380" s="8"/>
      <c r="I380" s="11">
        <v>1.9710648148148199E-2</v>
      </c>
      <c r="J380" s="14">
        <f t="shared" si="13"/>
        <v>21.139166177334062</v>
      </c>
    </row>
    <row r="381" spans="1:10" s="3" customFormat="1" ht="15.6" x14ac:dyDescent="0.3">
      <c r="A381" s="10"/>
      <c r="B381" s="13">
        <v>80</v>
      </c>
      <c r="C381" s="10" t="s">
        <v>29</v>
      </c>
      <c r="D381" s="13" t="s">
        <v>252</v>
      </c>
      <c r="E381" s="10" t="s">
        <v>11</v>
      </c>
      <c r="F381" s="10"/>
      <c r="G381" s="8"/>
      <c r="H381" s="8"/>
      <c r="I381" s="11">
        <v>2.44328703703704E-2</v>
      </c>
      <c r="J381" s="14">
        <f t="shared" si="13"/>
        <v>17.053529133112249</v>
      </c>
    </row>
    <row r="382" spans="1:10" s="3" customFormat="1" ht="15.6" x14ac:dyDescent="0.3">
      <c r="A382" s="10"/>
      <c r="B382" s="13">
        <v>81</v>
      </c>
      <c r="C382" s="10" t="s">
        <v>29</v>
      </c>
      <c r="D382" s="13" t="s">
        <v>253</v>
      </c>
      <c r="E382" s="10" t="s">
        <v>11</v>
      </c>
      <c r="F382" s="10"/>
      <c r="G382" s="8"/>
      <c r="H382" s="8"/>
      <c r="I382" s="11">
        <v>2.5185185185185199E-2</v>
      </c>
      <c r="J382" s="14">
        <f t="shared" si="13"/>
        <v>16.544117647058815</v>
      </c>
    </row>
    <row r="383" spans="1:10" s="3" customFormat="1" ht="15.6" x14ac:dyDescent="0.3">
      <c r="A383" s="10"/>
      <c r="B383" s="13">
        <v>85</v>
      </c>
      <c r="C383" s="10" t="s">
        <v>29</v>
      </c>
      <c r="D383" s="13">
        <v>2006</v>
      </c>
      <c r="E383" s="10"/>
      <c r="F383" s="10"/>
      <c r="G383" s="8"/>
      <c r="H383" s="8"/>
      <c r="I383" s="11">
        <v>2.7777777777777801E-2</v>
      </c>
      <c r="J383" s="14">
        <f t="shared" si="13"/>
        <v>14.999999999999988</v>
      </c>
    </row>
    <row r="384" spans="1:10" ht="9" customHeight="1" x14ac:dyDescent="0.3">
      <c r="A384" s="10"/>
      <c r="B384" s="8"/>
      <c r="C384" s="7"/>
      <c r="D384" s="8"/>
      <c r="E384" s="7"/>
      <c r="F384" s="7"/>
      <c r="G384" s="8"/>
      <c r="H384" s="8"/>
      <c r="I384" s="9"/>
      <c r="J384" s="9"/>
    </row>
    <row r="385" spans="1:10" ht="15.6" x14ac:dyDescent="0.3">
      <c r="A385" s="10" t="s">
        <v>80</v>
      </c>
      <c r="B385" s="8">
        <v>53</v>
      </c>
      <c r="C385" s="7" t="s">
        <v>12</v>
      </c>
      <c r="D385" s="8">
        <v>1990</v>
      </c>
      <c r="E385" s="7"/>
      <c r="F385" s="7"/>
      <c r="G385" s="8"/>
      <c r="H385" s="8"/>
      <c r="I385" s="9">
        <v>4.60532407407407E-2</v>
      </c>
      <c r="J385" s="12">
        <f t="shared" ref="J385:J406" si="14">VALUE(SUBSTITUTE($A$385,"miles",""))/(I385*24)</f>
        <v>22.6187484292536</v>
      </c>
    </row>
    <row r="386" spans="1:10" ht="15.6" x14ac:dyDescent="0.3">
      <c r="A386" s="10"/>
      <c r="B386" s="8">
        <v>54</v>
      </c>
      <c r="C386" s="7" t="s">
        <v>12</v>
      </c>
      <c r="D386" s="8">
        <v>1991</v>
      </c>
      <c r="E386" s="7"/>
      <c r="F386" s="7"/>
      <c r="G386" s="8"/>
      <c r="H386" s="8"/>
      <c r="I386" s="9">
        <v>4.6331018518518501E-2</v>
      </c>
      <c r="J386" s="12">
        <f t="shared" si="14"/>
        <v>22.483137646764938</v>
      </c>
    </row>
    <row r="387" spans="1:10" ht="15.6" x14ac:dyDescent="0.3">
      <c r="A387" s="10"/>
      <c r="B387" s="8">
        <v>55</v>
      </c>
      <c r="C387" s="7" t="s">
        <v>12</v>
      </c>
      <c r="D387" s="8">
        <v>1992</v>
      </c>
      <c r="E387" s="7"/>
      <c r="F387" s="7"/>
      <c r="G387" s="8"/>
      <c r="H387" s="8"/>
      <c r="I387" s="9">
        <v>4.7453703703703699E-2</v>
      </c>
      <c r="J387" s="12">
        <f t="shared" si="14"/>
        <v>21.951219512195124</v>
      </c>
    </row>
    <row r="388" spans="1:10" s="3" customFormat="1" ht="15.6" x14ac:dyDescent="0.3">
      <c r="A388" s="10"/>
      <c r="B388" s="13">
        <v>61</v>
      </c>
      <c r="C388" s="10" t="s">
        <v>214</v>
      </c>
      <c r="D388" s="13" t="s">
        <v>254</v>
      </c>
      <c r="E388" s="10" t="s">
        <v>255</v>
      </c>
      <c r="F388" s="10" t="s">
        <v>128</v>
      </c>
      <c r="G388" s="13"/>
      <c r="H388" s="13"/>
      <c r="I388" s="11">
        <v>4.54282407407407E-2</v>
      </c>
      <c r="J388" s="14">
        <f t="shared" si="14"/>
        <v>22.929936305732504</v>
      </c>
    </row>
    <row r="389" spans="1:10" ht="15.6" x14ac:dyDescent="0.3">
      <c r="A389" s="10"/>
      <c r="B389" s="8">
        <v>62</v>
      </c>
      <c r="C389" s="7" t="s">
        <v>29</v>
      </c>
      <c r="D389" s="8">
        <v>1983</v>
      </c>
      <c r="E389" s="7"/>
      <c r="F389" s="7"/>
      <c r="G389" s="8"/>
      <c r="H389" s="8" t="s">
        <v>19</v>
      </c>
      <c r="I389" s="9">
        <v>5.1979166666666701E-2</v>
      </c>
      <c r="J389" s="12">
        <f t="shared" si="14"/>
        <v>20.040080160320628</v>
      </c>
    </row>
    <row r="390" spans="1:10" ht="15.6" x14ac:dyDescent="0.3">
      <c r="A390" s="10"/>
      <c r="B390" s="8">
        <v>63</v>
      </c>
      <c r="C390" s="7" t="s">
        <v>29</v>
      </c>
      <c r="D390" s="8">
        <v>1984</v>
      </c>
      <c r="E390" s="7"/>
      <c r="F390" s="7"/>
      <c r="G390" s="8"/>
      <c r="H390" s="8" t="s">
        <v>19</v>
      </c>
      <c r="I390" s="9">
        <v>5.0717592592592599E-2</v>
      </c>
      <c r="J390" s="12">
        <f t="shared" si="14"/>
        <v>20.538566864445457</v>
      </c>
    </row>
    <row r="391" spans="1:10" ht="15.6" x14ac:dyDescent="0.3">
      <c r="A391" s="10"/>
      <c r="B391" s="8">
        <v>64</v>
      </c>
      <c r="C391" s="7" t="s">
        <v>29</v>
      </c>
      <c r="D391" s="8">
        <v>1985</v>
      </c>
      <c r="E391" s="7"/>
      <c r="F391" s="7"/>
      <c r="G391" s="8"/>
      <c r="H391" s="8" t="s">
        <v>19</v>
      </c>
      <c r="I391" s="9">
        <v>5.16898148148148E-2</v>
      </c>
      <c r="J391" s="12">
        <f t="shared" si="14"/>
        <v>20.152261531571881</v>
      </c>
    </row>
    <row r="392" spans="1:10" ht="15.6" x14ac:dyDescent="0.3">
      <c r="A392" s="10"/>
      <c r="B392" s="8">
        <v>65</v>
      </c>
      <c r="C392" s="7" t="s">
        <v>29</v>
      </c>
      <c r="D392" s="8">
        <v>1986</v>
      </c>
      <c r="E392" s="7"/>
      <c r="F392" s="7"/>
      <c r="G392" s="8"/>
      <c r="H392" s="8" t="s">
        <v>19</v>
      </c>
      <c r="I392" s="9">
        <v>5.1064814814814799E-2</v>
      </c>
      <c r="J392" s="12">
        <f t="shared" si="14"/>
        <v>20.398912058023576</v>
      </c>
    </row>
    <row r="393" spans="1:10" ht="15.6" x14ac:dyDescent="0.3">
      <c r="A393" s="10"/>
      <c r="B393" s="8">
        <v>66</v>
      </c>
      <c r="C393" s="7" t="s">
        <v>29</v>
      </c>
      <c r="D393" s="8">
        <v>1987</v>
      </c>
      <c r="E393" s="7"/>
      <c r="F393" s="7"/>
      <c r="G393" s="8"/>
      <c r="H393" s="8" t="s">
        <v>19</v>
      </c>
      <c r="I393" s="9">
        <v>5.1168981481481503E-2</v>
      </c>
      <c r="J393" s="12">
        <f t="shared" si="14"/>
        <v>20.35738520696674</v>
      </c>
    </row>
    <row r="394" spans="1:10" ht="15.6" x14ac:dyDescent="0.3">
      <c r="A394" s="10"/>
      <c r="B394" s="8">
        <v>68</v>
      </c>
      <c r="C394" s="7" t="s">
        <v>29</v>
      </c>
      <c r="D394" s="8">
        <v>1989</v>
      </c>
      <c r="E394" s="7"/>
      <c r="F394" s="7"/>
      <c r="G394" s="8"/>
      <c r="H394" s="8" t="s">
        <v>19</v>
      </c>
      <c r="I394" s="9">
        <v>4.9756944444444402E-2</v>
      </c>
      <c r="J394" s="12">
        <f t="shared" si="14"/>
        <v>20.935101186322417</v>
      </c>
    </row>
    <row r="395" spans="1:10" ht="15.6" x14ac:dyDescent="0.3">
      <c r="A395" s="10"/>
      <c r="B395" s="8">
        <v>69</v>
      </c>
      <c r="C395" s="7" t="s">
        <v>29</v>
      </c>
      <c r="D395" s="8">
        <v>1990</v>
      </c>
      <c r="E395" s="7"/>
      <c r="F395" s="7"/>
      <c r="G395" s="8"/>
      <c r="H395" s="8" t="s">
        <v>19</v>
      </c>
      <c r="I395" s="9">
        <v>5.4490740740740701E-2</v>
      </c>
      <c r="J395" s="12">
        <f t="shared" si="14"/>
        <v>19.116397621070533</v>
      </c>
    </row>
    <row r="396" spans="1:10" ht="15.6" x14ac:dyDescent="0.3">
      <c r="A396" s="10"/>
      <c r="B396" s="8">
        <v>70</v>
      </c>
      <c r="C396" s="7" t="s">
        <v>29</v>
      </c>
      <c r="D396" s="8">
        <v>1991</v>
      </c>
      <c r="E396" s="7"/>
      <c r="F396" s="7"/>
      <c r="G396" s="8"/>
      <c r="H396" s="8" t="s">
        <v>19</v>
      </c>
      <c r="I396" s="9">
        <v>5.4166666666666703E-2</v>
      </c>
      <c r="J396" s="12">
        <f t="shared" si="14"/>
        <v>19.230769230769216</v>
      </c>
    </row>
    <row r="397" spans="1:10" ht="15.6" x14ac:dyDescent="0.3">
      <c r="A397" s="10"/>
      <c r="B397" s="8">
        <v>71</v>
      </c>
      <c r="C397" s="7" t="s">
        <v>29</v>
      </c>
      <c r="D397" s="8">
        <v>1992</v>
      </c>
      <c r="E397" s="7"/>
      <c r="F397" s="7"/>
      <c r="G397" s="8"/>
      <c r="H397" s="8"/>
      <c r="I397" s="9">
        <v>5.7731481481481502E-2</v>
      </c>
      <c r="J397" s="12">
        <f t="shared" si="14"/>
        <v>18.043303929430625</v>
      </c>
    </row>
    <row r="398" spans="1:10" ht="15.6" x14ac:dyDescent="0.3">
      <c r="A398" s="10"/>
      <c r="B398" s="8">
        <v>72</v>
      </c>
      <c r="C398" s="7" t="s">
        <v>29</v>
      </c>
      <c r="D398" s="8">
        <v>1993</v>
      </c>
      <c r="E398" s="7"/>
      <c r="F398" s="7"/>
      <c r="G398" s="8"/>
      <c r="H398" s="8"/>
      <c r="I398" s="9">
        <v>5.5324074074074102E-2</v>
      </c>
      <c r="J398" s="12">
        <f t="shared" si="14"/>
        <v>18.828451882845179</v>
      </c>
    </row>
    <row r="399" spans="1:10" s="3" customFormat="1" ht="15.6" x14ac:dyDescent="0.3">
      <c r="A399" s="10"/>
      <c r="B399" s="13">
        <v>76</v>
      </c>
      <c r="C399" s="10" t="s">
        <v>214</v>
      </c>
      <c r="D399" s="19">
        <v>0.462627314814815</v>
      </c>
      <c r="E399" s="10" t="s">
        <v>84</v>
      </c>
      <c r="F399" s="10"/>
      <c r="G399" s="8"/>
      <c r="H399" s="8"/>
      <c r="I399" s="11">
        <v>4.63657407407407E-2</v>
      </c>
      <c r="J399" s="14">
        <f t="shared" si="14"/>
        <v>22.466300549176257</v>
      </c>
    </row>
    <row r="400" spans="1:10" ht="15.6" x14ac:dyDescent="0.3">
      <c r="A400" s="10"/>
      <c r="B400" s="8">
        <v>79</v>
      </c>
      <c r="C400" s="7" t="s">
        <v>29</v>
      </c>
      <c r="D400" s="8">
        <v>2000</v>
      </c>
      <c r="E400" s="7"/>
      <c r="F400" s="7"/>
      <c r="G400" s="8"/>
      <c r="H400" s="8" t="s">
        <v>19</v>
      </c>
      <c r="I400" s="9">
        <v>6.5671296296296297E-2</v>
      </c>
      <c r="J400" s="12">
        <f t="shared" si="14"/>
        <v>15.861825872400424</v>
      </c>
    </row>
    <row r="401" spans="1:10" s="3" customFormat="1" ht="15.6" x14ac:dyDescent="0.3">
      <c r="A401" s="10"/>
      <c r="B401" s="8">
        <v>80</v>
      </c>
      <c r="C401" s="7" t="s">
        <v>29</v>
      </c>
      <c r="D401" s="8">
        <v>2001</v>
      </c>
      <c r="E401" s="7"/>
      <c r="F401" s="7"/>
      <c r="G401" s="8"/>
      <c r="H401" s="8" t="s">
        <v>19</v>
      </c>
      <c r="I401" s="9">
        <v>6.4930555555555602E-2</v>
      </c>
      <c r="J401" s="12">
        <f t="shared" si="14"/>
        <v>16.042780748663091</v>
      </c>
    </row>
    <row r="402" spans="1:10" s="3" customFormat="1" ht="15.6" x14ac:dyDescent="0.3">
      <c r="A402" s="10"/>
      <c r="B402" s="13">
        <v>81</v>
      </c>
      <c r="C402" s="10" t="s">
        <v>29</v>
      </c>
      <c r="D402" s="19">
        <v>4.7939814814814803E-2</v>
      </c>
      <c r="E402" s="10" t="s">
        <v>82</v>
      </c>
      <c r="F402" s="10"/>
      <c r="G402" s="8"/>
      <c r="H402" s="8" t="s">
        <v>19</v>
      </c>
      <c r="I402" s="11">
        <v>6.4652777777777795E-2</v>
      </c>
      <c r="J402" s="14">
        <f t="shared" si="14"/>
        <v>16.111707841031144</v>
      </c>
    </row>
    <row r="403" spans="1:10" s="3" customFormat="1" ht="15.6" x14ac:dyDescent="0.3">
      <c r="A403" s="10"/>
      <c r="B403" s="13">
        <v>82</v>
      </c>
      <c r="C403" s="10" t="s">
        <v>29</v>
      </c>
      <c r="D403" s="13" t="s">
        <v>256</v>
      </c>
      <c r="E403" s="10" t="s">
        <v>110</v>
      </c>
      <c r="F403" s="10"/>
      <c r="G403" s="8"/>
      <c r="H403" s="8" t="s">
        <v>19</v>
      </c>
      <c r="I403" s="11">
        <v>6.8344907407407396E-2</v>
      </c>
      <c r="J403" s="14">
        <f t="shared" si="14"/>
        <v>15.241320914479257</v>
      </c>
    </row>
    <row r="404" spans="1:10" s="3" customFormat="1" ht="15.6" x14ac:dyDescent="0.3">
      <c r="A404" s="10"/>
      <c r="B404" s="13">
        <v>83</v>
      </c>
      <c r="C404" s="10" t="s">
        <v>29</v>
      </c>
      <c r="D404" s="13" t="s">
        <v>257</v>
      </c>
      <c r="E404" s="10" t="s">
        <v>108</v>
      </c>
      <c r="F404" s="10"/>
      <c r="G404" s="8"/>
      <c r="H404" s="8" t="s">
        <v>19</v>
      </c>
      <c r="I404" s="11">
        <v>6.8668981481481497E-2</v>
      </c>
      <c r="J404" s="14">
        <f t="shared" si="14"/>
        <v>15.169391538850492</v>
      </c>
    </row>
    <row r="405" spans="1:10" ht="15.6" x14ac:dyDescent="0.3">
      <c r="A405" s="7"/>
      <c r="B405" s="8">
        <v>84</v>
      </c>
      <c r="C405" s="7" t="s">
        <v>29</v>
      </c>
      <c r="D405" s="8" t="s">
        <v>258</v>
      </c>
      <c r="E405" s="7"/>
      <c r="F405" s="7"/>
      <c r="G405" s="8"/>
      <c r="H405" s="8" t="s">
        <v>19</v>
      </c>
      <c r="I405" s="9">
        <v>7.2731481481481494E-2</v>
      </c>
      <c r="J405" s="12">
        <f t="shared" si="14"/>
        <v>14.322087842138764</v>
      </c>
    </row>
    <row r="406" spans="1:10" s="3" customFormat="1" ht="15.6" x14ac:dyDescent="0.3">
      <c r="A406" s="10"/>
      <c r="B406" s="13">
        <v>85</v>
      </c>
      <c r="C406" s="10" t="s">
        <v>29</v>
      </c>
      <c r="D406" s="13" t="s">
        <v>259</v>
      </c>
      <c r="E406" s="10"/>
      <c r="F406" s="10"/>
      <c r="G406" s="8"/>
      <c r="H406" s="8" t="s">
        <v>19</v>
      </c>
      <c r="I406" s="11">
        <v>6.9594907407407397E-2</v>
      </c>
      <c r="J406" s="14">
        <f t="shared" si="14"/>
        <v>14.967570264427076</v>
      </c>
    </row>
    <row r="407" spans="1:10" ht="9" customHeight="1" x14ac:dyDescent="0.3">
      <c r="A407" s="10"/>
      <c r="B407" s="8"/>
      <c r="C407" s="7"/>
      <c r="D407" s="8"/>
      <c r="E407" s="7"/>
      <c r="F407" s="7"/>
      <c r="G407" s="8"/>
      <c r="H407" s="8"/>
      <c r="I407" s="9"/>
      <c r="J407" s="9"/>
    </row>
    <row r="408" spans="1:10" ht="15.6" x14ac:dyDescent="0.3">
      <c r="A408" s="10" t="s">
        <v>121</v>
      </c>
      <c r="B408" s="8">
        <v>64</v>
      </c>
      <c r="C408" s="7" t="s">
        <v>29</v>
      </c>
      <c r="D408" s="8">
        <v>1985</v>
      </c>
      <c r="E408" s="7"/>
      <c r="F408" s="7"/>
      <c r="G408" s="8"/>
      <c r="H408" s="8" t="s">
        <v>19</v>
      </c>
      <c r="I408" s="9">
        <v>6.4270833333333305E-2</v>
      </c>
      <c r="J408" s="12">
        <f t="shared" ref="J408:J416" si="15">VALUE(SUBSTITUTE($A$408,"miles",""))/(I408*24)</f>
        <v>19.44894651539709</v>
      </c>
    </row>
    <row r="409" spans="1:10" ht="15.6" x14ac:dyDescent="0.3">
      <c r="A409" s="10"/>
      <c r="B409" s="8">
        <v>65</v>
      </c>
      <c r="C409" s="7" t="s">
        <v>29</v>
      </c>
      <c r="D409" s="8">
        <v>1986</v>
      </c>
      <c r="E409" s="7"/>
      <c r="F409" s="7"/>
      <c r="G409" s="8"/>
      <c r="H409" s="8" t="s">
        <v>19</v>
      </c>
      <c r="I409" s="9">
        <v>6.5266203703703701E-2</v>
      </c>
      <c r="J409" s="12">
        <f t="shared" si="15"/>
        <v>19.152331973754212</v>
      </c>
    </row>
    <row r="410" spans="1:10" ht="15.6" x14ac:dyDescent="0.3">
      <c r="A410" s="10"/>
      <c r="B410" s="13">
        <v>68</v>
      </c>
      <c r="C410" s="10" t="s">
        <v>29</v>
      </c>
      <c r="D410" s="13" t="s">
        <v>260</v>
      </c>
      <c r="E410" s="10" t="s">
        <v>137</v>
      </c>
      <c r="F410" s="10"/>
      <c r="G410" s="8"/>
      <c r="H410" s="8" t="s">
        <v>19</v>
      </c>
      <c r="I410" s="11">
        <v>5.9247685185185202E-2</v>
      </c>
      <c r="J410" s="14">
        <f t="shared" si="15"/>
        <v>21.097870677866766</v>
      </c>
    </row>
    <row r="411" spans="1:10" ht="15.6" x14ac:dyDescent="0.3">
      <c r="A411" s="10"/>
      <c r="B411" s="13">
        <v>70</v>
      </c>
      <c r="C411" s="10" t="s">
        <v>29</v>
      </c>
      <c r="D411" s="13" t="s">
        <v>261</v>
      </c>
      <c r="E411" s="10" t="s">
        <v>262</v>
      </c>
      <c r="F411" s="10"/>
      <c r="G411" s="8"/>
      <c r="H411" s="8" t="s">
        <v>19</v>
      </c>
      <c r="I411" s="11">
        <v>6.7997685185185203E-2</v>
      </c>
      <c r="J411" s="14">
        <f t="shared" si="15"/>
        <v>18.38297872340425</v>
      </c>
    </row>
    <row r="412" spans="1:10" ht="15.6" x14ac:dyDescent="0.3">
      <c r="A412" s="10"/>
      <c r="B412" s="13">
        <v>71</v>
      </c>
      <c r="C412" s="10" t="s">
        <v>29</v>
      </c>
      <c r="D412" s="13" t="s">
        <v>263</v>
      </c>
      <c r="E412" s="10" t="s">
        <v>262</v>
      </c>
      <c r="F412" s="10"/>
      <c r="G412" s="8"/>
      <c r="H412" s="8" t="s">
        <v>19</v>
      </c>
      <c r="I412" s="11">
        <v>7.1087962962963006E-2</v>
      </c>
      <c r="J412" s="14">
        <f t="shared" si="15"/>
        <v>17.583848909150102</v>
      </c>
    </row>
    <row r="413" spans="1:10" ht="15.6" x14ac:dyDescent="0.3">
      <c r="A413" s="10"/>
      <c r="B413" s="13">
        <v>72</v>
      </c>
      <c r="C413" s="10" t="s">
        <v>29</v>
      </c>
      <c r="D413" s="13" t="s">
        <v>264</v>
      </c>
      <c r="E413" s="10" t="s">
        <v>262</v>
      </c>
      <c r="F413" s="10"/>
      <c r="G413" s="8"/>
      <c r="H413" s="8"/>
      <c r="I413" s="11">
        <v>7.4722222222222204E-2</v>
      </c>
      <c r="J413" s="14">
        <f t="shared" si="15"/>
        <v>16.728624535315987</v>
      </c>
    </row>
    <row r="414" spans="1:10" ht="15.6" x14ac:dyDescent="0.3">
      <c r="A414" s="10"/>
      <c r="B414" s="13">
        <v>80</v>
      </c>
      <c r="C414" s="10" t="s">
        <v>29</v>
      </c>
      <c r="D414" s="13" t="s">
        <v>265</v>
      </c>
      <c r="E414" s="10" t="s">
        <v>266</v>
      </c>
      <c r="F414" s="10"/>
      <c r="G414" s="13" t="s">
        <v>14</v>
      </c>
      <c r="H414" s="13" t="s">
        <v>39</v>
      </c>
      <c r="I414" s="11">
        <v>8.1782407407407401E-2</v>
      </c>
      <c r="J414" s="14">
        <f t="shared" si="15"/>
        <v>15.284460798188508</v>
      </c>
    </row>
    <row r="415" spans="1:10" ht="15.6" x14ac:dyDescent="0.3">
      <c r="A415" s="10"/>
      <c r="B415" s="13">
        <v>82</v>
      </c>
      <c r="C415" s="10" t="s">
        <v>29</v>
      </c>
      <c r="D415" s="13" t="s">
        <v>267</v>
      </c>
      <c r="E415" s="10" t="s">
        <v>266</v>
      </c>
      <c r="F415" s="10"/>
      <c r="G415" s="13" t="s">
        <v>14</v>
      </c>
      <c r="H415" s="13" t="s">
        <v>39</v>
      </c>
      <c r="I415" s="11">
        <v>8.4895833333333295E-2</v>
      </c>
      <c r="J415" s="14">
        <f t="shared" si="15"/>
        <v>14.723926380368104</v>
      </c>
    </row>
    <row r="416" spans="1:10" ht="15.6" x14ac:dyDescent="0.3">
      <c r="A416" s="10"/>
      <c r="B416" s="13">
        <v>83</v>
      </c>
      <c r="C416" s="10" t="s">
        <v>29</v>
      </c>
      <c r="D416" s="13" t="s">
        <v>268</v>
      </c>
      <c r="E416" s="10" t="s">
        <v>266</v>
      </c>
      <c r="F416" s="10"/>
      <c r="G416" s="13" t="s">
        <v>14</v>
      </c>
      <c r="H416" s="13" t="s">
        <v>39</v>
      </c>
      <c r="I416" s="11">
        <v>9.1759259259259304E-2</v>
      </c>
      <c r="J416" s="14">
        <f t="shared" si="15"/>
        <v>13.622603430877895</v>
      </c>
    </row>
    <row r="417" spans="1:10" ht="9" customHeight="1" x14ac:dyDescent="0.3">
      <c r="A417" s="10"/>
      <c r="B417" s="8"/>
      <c r="C417" s="7"/>
      <c r="D417" s="8"/>
      <c r="E417" s="7"/>
      <c r="F417" s="7"/>
      <c r="G417" s="8"/>
      <c r="H417" s="8"/>
      <c r="I417" s="9"/>
      <c r="J417" s="9"/>
    </row>
    <row r="418" spans="1:10" ht="15.6" x14ac:dyDescent="0.3">
      <c r="A418" s="10" t="s">
        <v>152</v>
      </c>
      <c r="B418" s="8">
        <v>55</v>
      </c>
      <c r="C418" s="7" t="s">
        <v>12</v>
      </c>
      <c r="D418" s="8">
        <v>1992</v>
      </c>
      <c r="E418" s="7"/>
      <c r="F418" s="7"/>
      <c r="G418" s="8"/>
      <c r="H418" s="8"/>
      <c r="I418" s="9">
        <v>9.8090277777777804E-2</v>
      </c>
      <c r="J418" s="12">
        <f t="shared" ref="J418:J427" si="16">VALUE(SUBSTITUTE($A$418,"miles",""))/(I418*24)</f>
        <v>21.238938053097339</v>
      </c>
    </row>
    <row r="419" spans="1:10" ht="15.6" x14ac:dyDescent="0.3">
      <c r="A419" s="10"/>
      <c r="B419" s="13">
        <v>61</v>
      </c>
      <c r="C419" s="10" t="s">
        <v>214</v>
      </c>
      <c r="D419" s="13" t="s">
        <v>269</v>
      </c>
      <c r="E419" s="10" t="s">
        <v>165</v>
      </c>
      <c r="F419" s="10" t="s">
        <v>128</v>
      </c>
      <c r="G419" s="13"/>
      <c r="H419" s="13"/>
      <c r="I419" s="11">
        <v>9.1979166666666695E-2</v>
      </c>
      <c r="J419" s="14">
        <f t="shared" si="16"/>
        <v>22.650056625141559</v>
      </c>
    </row>
    <row r="420" spans="1:10" s="3" customFormat="1" ht="15.6" x14ac:dyDescent="0.3">
      <c r="A420" s="10"/>
      <c r="B420" s="13">
        <v>63</v>
      </c>
      <c r="C420" s="10" t="s">
        <v>29</v>
      </c>
      <c r="D420" s="13" t="s">
        <v>270</v>
      </c>
      <c r="E420" s="10" t="s">
        <v>271</v>
      </c>
      <c r="F420" s="10"/>
      <c r="G420" s="8"/>
      <c r="H420" s="8" t="s">
        <v>19</v>
      </c>
      <c r="I420" s="11">
        <v>0.105763888888889</v>
      </c>
      <c r="J420" s="14">
        <f t="shared" si="16"/>
        <v>19.697964543663797</v>
      </c>
    </row>
    <row r="421" spans="1:10" ht="15.6" x14ac:dyDescent="0.3">
      <c r="A421" s="10"/>
      <c r="B421" s="8">
        <v>64</v>
      </c>
      <c r="C421" s="7" t="s">
        <v>29</v>
      </c>
      <c r="D421" s="8">
        <v>1985</v>
      </c>
      <c r="E421" s="7"/>
      <c r="F421" s="7"/>
      <c r="G421" s="8"/>
      <c r="H421" s="8" t="s">
        <v>19</v>
      </c>
      <c r="I421" s="9">
        <v>0.108055555555556</v>
      </c>
      <c r="J421" s="12">
        <f t="shared" si="16"/>
        <v>19.280205655526913</v>
      </c>
    </row>
    <row r="422" spans="1:10" ht="15.6" x14ac:dyDescent="0.3">
      <c r="A422" s="10"/>
      <c r="B422" s="8">
        <v>65</v>
      </c>
      <c r="C422" s="7" t="s">
        <v>29</v>
      </c>
      <c r="D422" s="8">
        <v>1986</v>
      </c>
      <c r="E422" s="7"/>
      <c r="F422" s="7"/>
      <c r="G422" s="8"/>
      <c r="H422" s="8" t="s">
        <v>19</v>
      </c>
      <c r="I422" s="9">
        <v>0.107199074074074</v>
      </c>
      <c r="J422" s="12">
        <f t="shared" si="16"/>
        <v>19.434247462751042</v>
      </c>
    </row>
    <row r="423" spans="1:10" ht="15.6" x14ac:dyDescent="0.3">
      <c r="A423" s="10"/>
      <c r="B423" s="8">
        <v>66</v>
      </c>
      <c r="C423" s="7" t="s">
        <v>29</v>
      </c>
      <c r="D423" s="8">
        <v>1987</v>
      </c>
      <c r="E423" s="7"/>
      <c r="F423" s="7"/>
      <c r="G423" s="8"/>
      <c r="H423" s="8" t="s">
        <v>19</v>
      </c>
      <c r="I423" s="9">
        <v>0.10723379629629599</v>
      </c>
      <c r="J423" s="12">
        <f t="shared" si="16"/>
        <v>19.42795466810583</v>
      </c>
    </row>
    <row r="424" spans="1:10" s="3" customFormat="1" ht="15.6" x14ac:dyDescent="0.3">
      <c r="A424" s="10"/>
      <c r="B424" s="13">
        <v>68</v>
      </c>
      <c r="C424" s="10" t="s">
        <v>29</v>
      </c>
      <c r="D424" s="13" t="s">
        <v>272</v>
      </c>
      <c r="E424" s="10" t="s">
        <v>137</v>
      </c>
      <c r="F424" s="10"/>
      <c r="G424" s="8"/>
      <c r="H424" s="8" t="s">
        <v>19</v>
      </c>
      <c r="I424" s="11">
        <v>0.10626157407407399</v>
      </c>
      <c r="J424" s="14">
        <f t="shared" si="16"/>
        <v>19.605707439276781</v>
      </c>
    </row>
    <row r="425" spans="1:10" s="3" customFormat="1" ht="15.6" x14ac:dyDescent="0.3">
      <c r="A425" s="10"/>
      <c r="B425" s="13">
        <v>69</v>
      </c>
      <c r="C425" s="10" t="s">
        <v>29</v>
      </c>
      <c r="D425" s="13" t="s">
        <v>273</v>
      </c>
      <c r="E425" s="10" t="s">
        <v>220</v>
      </c>
      <c r="F425" s="10"/>
      <c r="G425" s="8"/>
      <c r="H425" s="8" t="s">
        <v>19</v>
      </c>
      <c r="I425" s="11">
        <v>0.10762731481481499</v>
      </c>
      <c r="J425" s="14">
        <f t="shared" si="16"/>
        <v>19.356920098935337</v>
      </c>
    </row>
    <row r="426" spans="1:10" ht="15.6" x14ac:dyDescent="0.3">
      <c r="A426" s="10"/>
      <c r="B426" s="8">
        <v>71</v>
      </c>
      <c r="C426" s="7" t="s">
        <v>29</v>
      </c>
      <c r="D426" s="8">
        <v>1992</v>
      </c>
      <c r="E426" s="7"/>
      <c r="F426" s="7"/>
      <c r="G426" s="8"/>
      <c r="H426" s="8" t="s">
        <v>19</v>
      </c>
      <c r="I426" s="9">
        <v>0.114490740740741</v>
      </c>
      <c r="J426" s="12">
        <f t="shared" si="16"/>
        <v>18.196522442377638</v>
      </c>
    </row>
    <row r="427" spans="1:10" s="3" customFormat="1" ht="15.6" x14ac:dyDescent="0.3">
      <c r="A427" s="10"/>
      <c r="B427" s="13">
        <v>72</v>
      </c>
      <c r="C427" s="10" t="s">
        <v>29</v>
      </c>
      <c r="D427" s="13" t="s">
        <v>274</v>
      </c>
      <c r="E427" s="10" t="s">
        <v>220</v>
      </c>
      <c r="F427" s="10"/>
      <c r="G427" s="8"/>
      <c r="H427" s="8"/>
      <c r="I427" s="11">
        <v>0.114108796296296</v>
      </c>
      <c r="J427" s="14">
        <f t="shared" si="16"/>
        <v>18.257429759610556</v>
      </c>
    </row>
    <row r="428" spans="1:10" ht="9" customHeight="1" x14ac:dyDescent="0.3">
      <c r="A428" s="10"/>
      <c r="B428" s="8"/>
      <c r="C428" s="7"/>
      <c r="D428" s="8"/>
      <c r="E428" s="7"/>
      <c r="F428" s="7"/>
      <c r="G428" s="8"/>
      <c r="H428" s="8"/>
      <c r="I428" s="9"/>
      <c r="J428" s="9"/>
    </row>
    <row r="429" spans="1:10" ht="15.6" x14ac:dyDescent="0.3">
      <c r="A429" s="10" t="s">
        <v>185</v>
      </c>
      <c r="B429" s="8">
        <v>61</v>
      </c>
      <c r="C429" s="7" t="s">
        <v>214</v>
      </c>
      <c r="D429" s="8">
        <v>1995</v>
      </c>
      <c r="E429" s="7"/>
      <c r="F429" s="7"/>
      <c r="G429" s="8"/>
      <c r="H429" s="8" t="s">
        <v>19</v>
      </c>
      <c r="I429" s="9">
        <v>0.19938657407407401</v>
      </c>
      <c r="J429" s="12">
        <f t="shared" ref="J429:J440" si="17">VALUE(SUBSTITUTE($A$429,"miles",""))/(I429*24)</f>
        <v>20.897428455331752</v>
      </c>
    </row>
    <row r="430" spans="1:10" ht="15.6" x14ac:dyDescent="0.3">
      <c r="A430" s="10"/>
      <c r="B430" s="13">
        <v>62</v>
      </c>
      <c r="C430" s="10" t="s">
        <v>214</v>
      </c>
      <c r="D430" s="13">
        <v>1997</v>
      </c>
      <c r="E430" s="10"/>
      <c r="F430" s="10" t="s">
        <v>128</v>
      </c>
      <c r="G430" s="13"/>
      <c r="H430" s="13" t="s">
        <v>39</v>
      </c>
      <c r="I430" s="11">
        <v>0.19320601851851801</v>
      </c>
      <c r="J430" s="14">
        <f t="shared" si="17"/>
        <v>21.565925837177318</v>
      </c>
    </row>
    <row r="431" spans="1:10" ht="15.6" x14ac:dyDescent="0.3">
      <c r="A431" s="10"/>
      <c r="B431" s="13">
        <v>63</v>
      </c>
      <c r="C431" s="10" t="s">
        <v>214</v>
      </c>
      <c r="D431" s="13">
        <v>1997</v>
      </c>
      <c r="E431" s="10"/>
      <c r="F431" s="10"/>
      <c r="G431" s="8" t="s">
        <v>14</v>
      </c>
      <c r="H431" s="8" t="s">
        <v>19</v>
      </c>
      <c r="I431" s="11">
        <v>0.195578703703704</v>
      </c>
      <c r="J431" s="14">
        <f t="shared" si="17"/>
        <v>21.304296366433864</v>
      </c>
    </row>
    <row r="432" spans="1:10" ht="15.6" x14ac:dyDescent="0.3">
      <c r="A432" s="10"/>
      <c r="B432" s="8">
        <v>63</v>
      </c>
      <c r="C432" s="7" t="s">
        <v>29</v>
      </c>
      <c r="D432" s="8">
        <v>1984</v>
      </c>
      <c r="E432" s="7"/>
      <c r="F432" s="7"/>
      <c r="G432" s="8" t="s">
        <v>14</v>
      </c>
      <c r="H432" s="8" t="s">
        <v>19</v>
      </c>
      <c r="I432" s="9">
        <v>0.220613425925926</v>
      </c>
      <c r="J432" s="12">
        <f t="shared" si="17"/>
        <v>18.886732070720313</v>
      </c>
    </row>
    <row r="433" spans="1:10" ht="15.6" x14ac:dyDescent="0.3">
      <c r="A433" s="10"/>
      <c r="B433" s="8">
        <v>64</v>
      </c>
      <c r="C433" s="7" t="s">
        <v>29</v>
      </c>
      <c r="D433" s="8">
        <v>1985</v>
      </c>
      <c r="E433" s="7"/>
      <c r="F433" s="7"/>
      <c r="G433" s="8" t="s">
        <v>14</v>
      </c>
      <c r="H433" s="8" t="s">
        <v>19</v>
      </c>
      <c r="I433" s="9">
        <v>0.218599537037037</v>
      </c>
      <c r="J433" s="12">
        <f t="shared" si="17"/>
        <v>19.060729602372007</v>
      </c>
    </row>
    <row r="434" spans="1:10" ht="15.6" x14ac:dyDescent="0.3">
      <c r="A434" s="10"/>
      <c r="B434" s="13">
        <v>65</v>
      </c>
      <c r="C434" s="10" t="s">
        <v>29</v>
      </c>
      <c r="D434" s="13" t="s">
        <v>275</v>
      </c>
      <c r="E434" s="10" t="s">
        <v>276</v>
      </c>
      <c r="F434" s="10"/>
      <c r="G434" s="8" t="s">
        <v>14</v>
      </c>
      <c r="H434" s="8" t="s">
        <v>19</v>
      </c>
      <c r="I434" s="11">
        <v>0.21562500000000001</v>
      </c>
      <c r="J434" s="14">
        <f t="shared" si="17"/>
        <v>19.323671497584538</v>
      </c>
    </row>
    <row r="435" spans="1:10" ht="15.6" x14ac:dyDescent="0.3">
      <c r="A435" s="10"/>
      <c r="B435" s="13">
        <v>66</v>
      </c>
      <c r="C435" s="10" t="s">
        <v>29</v>
      </c>
      <c r="D435" s="13" t="s">
        <v>277</v>
      </c>
      <c r="E435" s="10" t="s">
        <v>137</v>
      </c>
      <c r="F435" s="10"/>
      <c r="G435" s="8" t="s">
        <v>14</v>
      </c>
      <c r="H435" s="8" t="s">
        <v>19</v>
      </c>
      <c r="I435" s="11">
        <v>0.220613425925926</v>
      </c>
      <c r="J435" s="14">
        <f t="shared" si="17"/>
        <v>18.886732070720313</v>
      </c>
    </row>
    <row r="436" spans="1:10" ht="15.6" x14ac:dyDescent="0.3">
      <c r="A436" s="10"/>
      <c r="B436" s="13">
        <v>67</v>
      </c>
      <c r="C436" s="10" t="s">
        <v>29</v>
      </c>
      <c r="D436" s="13" t="s">
        <v>278</v>
      </c>
      <c r="E436" s="10" t="s">
        <v>137</v>
      </c>
      <c r="F436" s="10"/>
      <c r="G436" s="8"/>
      <c r="H436" s="8" t="s">
        <v>19</v>
      </c>
      <c r="I436" s="11">
        <v>0.22803240740740699</v>
      </c>
      <c r="J436" s="14">
        <f t="shared" si="17"/>
        <v>18.272256623693057</v>
      </c>
    </row>
    <row r="437" spans="1:10" ht="15.6" x14ac:dyDescent="0.3">
      <c r="A437" s="10"/>
      <c r="B437" s="13">
        <v>68</v>
      </c>
      <c r="C437" s="10" t="s">
        <v>29</v>
      </c>
      <c r="D437" s="13" t="s">
        <v>279</v>
      </c>
      <c r="E437" s="10" t="s">
        <v>137</v>
      </c>
      <c r="F437" s="10"/>
      <c r="G437" s="8"/>
      <c r="H437" s="8" t="s">
        <v>19</v>
      </c>
      <c r="I437" s="11">
        <v>0.23099537037036999</v>
      </c>
      <c r="J437" s="14">
        <f t="shared" si="17"/>
        <v>18.037879547048831</v>
      </c>
    </row>
    <row r="438" spans="1:10" ht="15.6" x14ac:dyDescent="0.3">
      <c r="A438" s="10"/>
      <c r="B438" s="8">
        <v>69</v>
      </c>
      <c r="C438" s="7" t="s">
        <v>29</v>
      </c>
      <c r="D438" s="8">
        <v>1990</v>
      </c>
      <c r="E438" s="7"/>
      <c r="F438" s="7"/>
      <c r="G438" s="8"/>
      <c r="H438" s="8" t="s">
        <v>19</v>
      </c>
      <c r="I438" s="9">
        <v>0.24710648148148101</v>
      </c>
      <c r="J438" s="12">
        <f t="shared" si="17"/>
        <v>16.861826697892301</v>
      </c>
    </row>
    <row r="439" spans="1:10" ht="15.6" x14ac:dyDescent="0.3">
      <c r="A439" s="10"/>
      <c r="B439" s="13">
        <v>70</v>
      </c>
      <c r="C439" s="10" t="s">
        <v>29</v>
      </c>
      <c r="D439" s="13" t="s">
        <v>280</v>
      </c>
      <c r="E439" s="10" t="s">
        <v>281</v>
      </c>
      <c r="F439" s="10"/>
      <c r="G439" s="8"/>
      <c r="H439" s="8" t="s">
        <v>19</v>
      </c>
      <c r="I439" s="11">
        <v>0.23554398148148101</v>
      </c>
      <c r="J439" s="14">
        <f t="shared" si="17"/>
        <v>17.689548425138849</v>
      </c>
    </row>
    <row r="440" spans="1:10" ht="15.6" x14ac:dyDescent="0.3">
      <c r="A440" s="10"/>
      <c r="B440" s="13">
        <v>72</v>
      </c>
      <c r="C440" s="10" t="s">
        <v>29</v>
      </c>
      <c r="D440" s="13" t="s">
        <v>282</v>
      </c>
      <c r="E440" s="10" t="s">
        <v>194</v>
      </c>
      <c r="F440" s="10"/>
      <c r="G440" s="13"/>
      <c r="H440" s="13" t="s">
        <v>39</v>
      </c>
      <c r="I440" s="11">
        <v>0.237395833333333</v>
      </c>
      <c r="J440" s="14">
        <f t="shared" si="17"/>
        <v>17.551557700745967</v>
      </c>
    </row>
    <row r="441" spans="1:10" ht="9" customHeight="1" x14ac:dyDescent="0.3">
      <c r="A441" s="10"/>
      <c r="B441" s="8"/>
      <c r="C441" s="7"/>
      <c r="D441" s="8"/>
      <c r="E441" s="7"/>
      <c r="F441" s="7"/>
      <c r="G441" s="8"/>
      <c r="H441" s="8"/>
      <c r="I441" s="9"/>
      <c r="J441" s="9"/>
    </row>
    <row r="442" spans="1:10" ht="15.6" x14ac:dyDescent="0.3">
      <c r="A442" s="10" t="s">
        <v>199</v>
      </c>
      <c r="B442" s="8">
        <v>61</v>
      </c>
      <c r="C442" s="7" t="s">
        <v>214</v>
      </c>
      <c r="D442" s="8" t="s">
        <v>215</v>
      </c>
      <c r="E442" s="7" t="s">
        <v>220</v>
      </c>
      <c r="F442" s="7"/>
      <c r="G442" s="8" t="s">
        <v>14</v>
      </c>
      <c r="H442" s="8" t="s">
        <v>19</v>
      </c>
      <c r="I442" s="20" t="s">
        <v>217</v>
      </c>
      <c r="J442" s="12">
        <f t="shared" ref="J442:J448" si="18">VALUE(SUBSTITUTE(I442,"m",""))/VALUE(SUBSTITUTE($A$442,"hours",""))</f>
        <v>19.75</v>
      </c>
    </row>
    <row r="443" spans="1:10" ht="15.6" x14ac:dyDescent="0.3">
      <c r="A443" s="10"/>
      <c r="B443" s="8">
        <v>63</v>
      </c>
      <c r="C443" s="7" t="s">
        <v>214</v>
      </c>
      <c r="D443" s="8">
        <v>1997</v>
      </c>
      <c r="E443" s="7"/>
      <c r="F443" s="7"/>
      <c r="G443" s="8" t="s">
        <v>14</v>
      </c>
      <c r="H443" s="8" t="s">
        <v>19</v>
      </c>
      <c r="I443" s="20" t="s">
        <v>283</v>
      </c>
      <c r="J443" s="12">
        <f t="shared" si="18"/>
        <v>19.105833333333333</v>
      </c>
    </row>
    <row r="444" spans="1:10" ht="15.6" x14ac:dyDescent="0.3">
      <c r="A444" s="10"/>
      <c r="B444" s="8">
        <v>63</v>
      </c>
      <c r="C444" s="7" t="s">
        <v>29</v>
      </c>
      <c r="D444" s="8">
        <v>1984</v>
      </c>
      <c r="E444" s="7"/>
      <c r="F444" s="7"/>
      <c r="G444" s="8" t="s">
        <v>14</v>
      </c>
      <c r="H444" s="8" t="s">
        <v>19</v>
      </c>
      <c r="I444" s="20" t="s">
        <v>284</v>
      </c>
      <c r="J444" s="12">
        <f t="shared" si="18"/>
        <v>16.735833333333336</v>
      </c>
    </row>
    <row r="445" spans="1:10" ht="15.6" x14ac:dyDescent="0.3">
      <c r="A445" s="10"/>
      <c r="B445" s="8">
        <v>64</v>
      </c>
      <c r="C445" s="7" t="s">
        <v>29</v>
      </c>
      <c r="D445" s="8">
        <v>1985</v>
      </c>
      <c r="E445" s="7"/>
      <c r="F445" s="7"/>
      <c r="G445" s="8" t="s">
        <v>14</v>
      </c>
      <c r="H445" s="8" t="s">
        <v>19</v>
      </c>
      <c r="I445" s="20" t="s">
        <v>285</v>
      </c>
      <c r="J445" s="12">
        <f t="shared" si="18"/>
        <v>17.170833333333334</v>
      </c>
    </row>
    <row r="446" spans="1:10" ht="15.6" x14ac:dyDescent="0.3">
      <c r="A446" s="10"/>
      <c r="B446" s="13">
        <v>65</v>
      </c>
      <c r="C446" s="10" t="s">
        <v>214</v>
      </c>
      <c r="D446" s="13">
        <v>1999</v>
      </c>
      <c r="E446" s="10"/>
      <c r="F446" s="10" t="s">
        <v>128</v>
      </c>
      <c r="G446" s="13" t="s">
        <v>43</v>
      </c>
      <c r="H446" s="13" t="s">
        <v>39</v>
      </c>
      <c r="I446" s="21" t="s">
        <v>286</v>
      </c>
      <c r="J446" s="14">
        <f t="shared" si="18"/>
        <v>19.935833333333331</v>
      </c>
    </row>
    <row r="447" spans="1:10" ht="15.6" x14ac:dyDescent="0.3">
      <c r="A447" s="10"/>
      <c r="B447" s="8">
        <v>65</v>
      </c>
      <c r="C447" s="7" t="s">
        <v>29</v>
      </c>
      <c r="D447" s="8" t="s">
        <v>287</v>
      </c>
      <c r="E447" s="7" t="s">
        <v>220</v>
      </c>
      <c r="F447" s="7"/>
      <c r="G447" s="8" t="s">
        <v>14</v>
      </c>
      <c r="H447" s="8" t="s">
        <v>19</v>
      </c>
      <c r="I447" s="20" t="s">
        <v>288</v>
      </c>
      <c r="J447" s="12">
        <f t="shared" si="18"/>
        <v>17.221666666666668</v>
      </c>
    </row>
    <row r="448" spans="1:10" ht="15.6" x14ac:dyDescent="0.3">
      <c r="A448" s="10"/>
      <c r="B448" s="13">
        <v>67</v>
      </c>
      <c r="C448" s="10" t="s">
        <v>29</v>
      </c>
      <c r="D448" s="13" t="s">
        <v>289</v>
      </c>
      <c r="E448" s="10" t="s">
        <v>220</v>
      </c>
      <c r="F448" s="10"/>
      <c r="G448" s="13" t="s">
        <v>14</v>
      </c>
      <c r="H448" s="13" t="s">
        <v>39</v>
      </c>
      <c r="I448" s="21" t="s">
        <v>290</v>
      </c>
      <c r="J448" s="14">
        <f t="shared" si="18"/>
        <v>17.144166666666667</v>
      </c>
    </row>
    <row r="449" spans="1:10" ht="26.25" customHeight="1" x14ac:dyDescent="0.3">
      <c r="A449" s="10"/>
      <c r="B449" s="8"/>
      <c r="C449" s="7"/>
      <c r="D449" s="8"/>
      <c r="E449" s="7"/>
      <c r="F449" s="7"/>
      <c r="G449" s="7"/>
      <c r="H449" s="7"/>
      <c r="I449" s="9"/>
      <c r="J449" s="9"/>
    </row>
    <row r="450" spans="1:10" ht="27.75" customHeight="1" x14ac:dyDescent="0.3">
      <c r="A450" s="23" t="s">
        <v>291</v>
      </c>
      <c r="B450" s="7"/>
      <c r="C450" s="7"/>
      <c r="D450" s="8"/>
      <c r="E450" s="8"/>
      <c r="F450" s="23"/>
      <c r="G450" s="23"/>
      <c r="H450" s="23"/>
      <c r="I450" s="8"/>
      <c r="J450" s="8"/>
    </row>
    <row r="451" spans="1:10" ht="15.6" x14ac:dyDescent="0.3">
      <c r="A451" s="3" t="s">
        <v>292</v>
      </c>
      <c r="B451" s="7"/>
      <c r="C451" s="7"/>
      <c r="D451" s="8"/>
      <c r="E451" s="8"/>
      <c r="F451" s="24"/>
      <c r="G451" s="24"/>
      <c r="H451" s="24"/>
      <c r="I451" s="8"/>
      <c r="J451" s="8"/>
    </row>
    <row r="452" spans="1:10" ht="15.6" x14ac:dyDescent="0.3">
      <c r="A452" s="3" t="s">
        <v>293</v>
      </c>
      <c r="B452" s="7"/>
      <c r="C452" s="7"/>
      <c r="D452" s="8"/>
      <c r="E452" s="8"/>
      <c r="F452" s="24"/>
      <c r="G452" s="24"/>
      <c r="H452" s="24"/>
      <c r="I452" s="8"/>
      <c r="J452" s="8"/>
    </row>
    <row r="453" spans="1:10" ht="15.6" x14ac:dyDescent="0.3">
      <c r="A453" s="3" t="s">
        <v>294</v>
      </c>
      <c r="B453" s="7"/>
      <c r="C453" s="7"/>
      <c r="D453" s="8"/>
      <c r="E453" s="8"/>
      <c r="F453" s="24"/>
      <c r="G453" s="24"/>
      <c r="H453" s="24"/>
      <c r="I453" s="8"/>
      <c r="J453" s="8"/>
    </row>
  </sheetData>
  <mergeCells count="4">
    <mergeCell ref="A1:J1"/>
    <mergeCell ref="A3:J3"/>
    <mergeCell ref="A5:J5"/>
    <mergeCell ref="A6:J6"/>
  </mergeCells>
  <pageMargins left="0.26736111111111099" right="0.7" top="0.35277777777777802" bottom="0.23888888888888901" header="0.511811023622047" footer="0.511811023622047"/>
  <pageSetup paperSize="9" fitToHeight="0"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155</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2024</vt:lpstr>
      <vt:lpstr>'2024'!Print_Area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Dyason</dc:creator>
  <dc:description/>
  <cp:lastModifiedBy>Colin Lizieri</cp:lastModifiedBy>
  <cp:revision>31</cp:revision>
  <cp:lastPrinted>2019-12-15T16:36:52Z</cp:lastPrinted>
  <dcterms:created xsi:type="dcterms:W3CDTF">2019-11-03T22:02:18Z</dcterms:created>
  <dcterms:modified xsi:type="dcterms:W3CDTF">2024-11-16T12:23:33Z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