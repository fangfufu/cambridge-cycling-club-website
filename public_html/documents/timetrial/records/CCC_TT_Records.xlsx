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Print_Area" vbProcedure="false">Sheet1!$A$1:$H$158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132" authorId="0">
      <text>
        <r>
          <rPr>
            <sz val="11"/>
            <color rgb="FF000000"/>
            <rFont val="Aptos Narrow"/>
            <family val="2"/>
            <charset val="1"/>
          </rPr>
          <t xml:space="preserve">cml49:
</t>
        </r>
        <r>
          <rPr>
            <sz val="9"/>
            <color rgb="FF000000"/>
            <rFont val="Tahoma"/>
            <family val="2"/>
            <charset val="1"/>
          </rPr>
          <t xml:space="preserve">actual 01:13.418</t>
        </r>
      </text>
    </comment>
    <comment ref="G133" authorId="0">
      <text>
        <r>
          <rPr>
            <sz val="11"/>
            <color rgb="FF000000"/>
            <rFont val="Aptos Narrow"/>
            <family val="2"/>
            <charset val="1"/>
          </rPr>
          <t xml:space="preserve">cml49:
</t>
        </r>
        <r>
          <rPr>
            <sz val="9"/>
            <color rgb="FF000000"/>
            <rFont val="Tahoma"/>
            <family val="2"/>
            <charset val="1"/>
          </rPr>
          <t xml:space="preserve">Actual 3:53.044</t>
        </r>
      </text>
    </comment>
  </commentList>
</comments>
</file>

<file path=xl/sharedStrings.xml><?xml version="1.0" encoding="utf-8"?>
<sst xmlns="http://schemas.openxmlformats.org/spreadsheetml/2006/main" count="247" uniqueCount="110">
  <si>
    <t xml:space="preserve">CCC RECORDS - WHO HOLDS WHAT AFTER THE 2025 SEASON</t>
  </si>
  <si>
    <t xml:space="preserve">A Youth is under 14 on the day of the event.   A Juvenile is under 16 on the day.</t>
  </si>
  <si>
    <r>
      <rPr>
        <i val="true"/>
        <sz val="12"/>
        <color rgb="FF000000"/>
        <rFont val="Arial Narrow"/>
        <family val="2"/>
        <charset val="1"/>
      </rPr>
      <t xml:space="preserve">A Junior remains a Junior until December 31st of the year in which the 18th birthday occurs</t>
    </r>
    <r>
      <rPr>
        <sz val="12"/>
        <color rgb="FF000000"/>
        <rFont val="Arial Narrow"/>
        <family val="2"/>
        <charset val="1"/>
      </rPr>
      <t xml:space="preserve">.</t>
    </r>
  </si>
  <si>
    <t xml:space="preserve">Solo Records</t>
  </si>
  <si>
    <t xml:space="preserve">Name</t>
  </si>
  <si>
    <t xml:space="preserve">Season</t>
  </si>
  <si>
    <t xml:space="preserve">Time/Dist</t>
  </si>
  <si>
    <t xml:space="preserve">MPH</t>
  </si>
  <si>
    <t xml:space="preserve">5 Miles</t>
  </si>
  <si>
    <t xml:space="preserve">Open</t>
  </si>
  <si>
    <t xml:space="preserve">Senior</t>
  </si>
  <si>
    <t xml:space="preserve">Ben Redman</t>
  </si>
  <si>
    <t xml:space="preserve">Junior</t>
  </si>
  <si>
    <t xml:space="preserve">Nathaniel Lemanski (U16)</t>
  </si>
  <si>
    <t xml:space="preserve">Under 16</t>
  </si>
  <si>
    <t xml:space="preserve">Nathaniel Lemanski</t>
  </si>
  <si>
    <t xml:space="preserve">Under 14</t>
  </si>
  <si>
    <t xml:space="preserve">Female</t>
  </si>
  <si>
    <t xml:space="preserve">Lucy Griffin</t>
  </si>
  <si>
    <t xml:space="preserve">Caitlin Borowski (Youth female)</t>
  </si>
  <si>
    <t xml:space="preserve">Caitlin Borowski</t>
  </si>
  <si>
    <t xml:space="preserve">10 Miles</t>
  </si>
  <si>
    <t xml:space="preserve">Piotr Zulawski</t>
  </si>
  <si>
    <t xml:space="preserve">Tom Platts</t>
  </si>
  <si>
    <t xml:space="preserve">Nik Hall</t>
  </si>
  <si>
    <t xml:space="preserve">Laura Massey</t>
  </si>
  <si>
    <t xml:space="preserve">Rachel Wesley (Youth female)</t>
  </si>
  <si>
    <t xml:space="preserve">Rachel Wesley </t>
  </si>
  <si>
    <t xml:space="preserve">10m Team</t>
  </si>
  <si>
    <t xml:space="preserve">Dave McGaw 19:33, Ben Redman 19:50, Martin Reynolds 19:55</t>
  </si>
  <si>
    <t xml:space="preserve">Tom Platts 22:50; Sam O'Rourke 25:36; Chris Hughes (U14) 27:10</t>
  </si>
  <si>
    <t xml:space="preserve">15 Miles</t>
  </si>
  <si>
    <t xml:space="preserve">Adam Fisher</t>
  </si>
  <si>
    <t xml:space="preserve">to be set</t>
  </si>
  <si>
    <t xml:space="preserve">Mandy Hoskin (Juv)</t>
  </si>
  <si>
    <t xml:space="preserve">Mandy Hoskin </t>
  </si>
  <si>
    <t xml:space="preserve">15m Team</t>
  </si>
  <si>
    <t xml:space="preserve">Adam Fisher 30:12; Martin Reynolds 30:32: Henry Moss 30:46</t>
  </si>
  <si>
    <t xml:space="preserve">25 Miles</t>
  </si>
  <si>
    <t xml:space="preserve">David McGaw</t>
  </si>
  <si>
    <t xml:space="preserve">Stan Ayers</t>
  </si>
  <si>
    <t xml:space="preserve">Rachel Horn</t>
  </si>
  <si>
    <t xml:space="preserve">Angela Joy (now Platt)</t>
  </si>
  <si>
    <t xml:space="preserve">Angela Joy</t>
  </si>
  <si>
    <t xml:space="preserve">Angela Joy </t>
  </si>
  <si>
    <t xml:space="preserve">25m Team</t>
  </si>
  <si>
    <t xml:space="preserve">David McGaw 50:18; Martin Reynolds 51:00; Adam Fisher 51:01</t>
  </si>
  <si>
    <t xml:space="preserve">30 Miles</t>
  </si>
  <si>
    <t xml:space="preserve">Bob Watson (58)</t>
  </si>
  <si>
    <t xml:space="preserve">James Ward</t>
  </si>
  <si>
    <t xml:space="preserve">Eddie Hoskin </t>
  </si>
  <si>
    <t xml:space="preserve">Helen Eborall</t>
  </si>
  <si>
    <t xml:space="preserve">30m Team</t>
  </si>
  <si>
    <t xml:space="preserve">Bob Watson 1:00:47; Ken Platts 1:02:59; Colin Lizieri 1:03:32</t>
  </si>
  <si>
    <t xml:space="preserve">50 Miles</t>
  </si>
  <si>
    <t xml:space="preserve">Nigel Fleet</t>
  </si>
  <si>
    <t xml:space="preserve">Lucy Gossage</t>
  </si>
  <si>
    <t xml:space="preserve">50m Team</t>
  </si>
  <si>
    <t xml:space="preserve">David McGaw 01:38:30; Andre Dyason 1:45:50; Colin Lizieri 1:50:34</t>
  </si>
  <si>
    <t xml:space="preserve">100 Miles</t>
  </si>
  <si>
    <t xml:space="preserve">Ken Platts (59)</t>
  </si>
  <si>
    <t xml:space="preserve">12 hours</t>
  </si>
  <si>
    <t xml:space="preserve">Ken Platts (55)</t>
  </si>
  <si>
    <t xml:space="preserve">Lucy Rutter (now McTaggart)</t>
  </si>
  <si>
    <t xml:space="preserve">24 Hours</t>
  </si>
  <si>
    <t xml:space="preserve">Tim Welsh</t>
  </si>
  <si>
    <t xml:space="preserve">Best All Rounder</t>
  </si>
  <si>
    <t xml:space="preserve">Senior (25, 50, 100)</t>
  </si>
  <si>
    <t xml:space="preserve">Andrew Grant (66)</t>
  </si>
  <si>
    <t xml:space="preserve">Junior (2*10, 2*25)</t>
  </si>
  <si>
    <t xml:space="preserve">Tandem Records</t>
  </si>
  <si>
    <t xml:space="preserve">Ken Platts (55) and Tom Platts</t>
  </si>
  <si>
    <t xml:space="preserve">Senior/Mixed</t>
  </si>
  <si>
    <t xml:space="preserve">Lol Berman and Rachel Horn</t>
  </si>
  <si>
    <t xml:space="preserve">Senior/Junior</t>
  </si>
  <si>
    <t xml:space="preserve">Ken Platts (54) and Tom Platts</t>
  </si>
  <si>
    <t xml:space="preserve">Senior/Under 16</t>
  </si>
  <si>
    <t xml:space="preserve">Stuart Lemanski and Nathaniel Lemanski</t>
  </si>
  <si>
    <t xml:space="preserve">Senior/Under 14</t>
  </si>
  <si>
    <t xml:space="preserve">S/J Mixed</t>
  </si>
  <si>
    <t xml:space="preserve">Richard Holmes and Natalie Speechley</t>
  </si>
  <si>
    <t xml:space="preserve">Ken Platts (54) and Tom Platts (J)</t>
  </si>
  <si>
    <t xml:space="preserve">Roy Clarke and John Lindsell</t>
  </si>
  <si>
    <t xml:space="preserve">12 Hours</t>
  </si>
  <si>
    <t xml:space="preserve">Frank Buckingham and Percy T Carter</t>
  </si>
  <si>
    <t xml:space="preserve">Note: Juveniles qualify up to 25 miles, Juniors qualify up to 50 miles.</t>
  </si>
  <si>
    <t xml:space="preserve">2-Up Records</t>
  </si>
  <si>
    <t xml:space="preserve">David McGaw and Chris Brown</t>
  </si>
  <si>
    <t xml:space="preserve">George Crammond and Mark Matthews </t>
  </si>
  <si>
    <t xml:space="preserve">Digby Symons and Doug Bradshaw</t>
  </si>
  <si>
    <t xml:space="preserve">Mick Draper and Kim Joy</t>
  </si>
  <si>
    <t xml:space="preserve">Bob Jessup and Eddie Hoskin</t>
  </si>
  <si>
    <t xml:space="preserve">Tricycle Records</t>
  </si>
  <si>
    <t xml:space="preserve">Mick Draper</t>
  </si>
  <si>
    <t xml:space="preserve">Ken Usher</t>
  </si>
  <si>
    <t xml:space="preserve">Sam Gilbert</t>
  </si>
  <si>
    <t xml:space="preserve">Frank Brown</t>
  </si>
  <si>
    <t xml:space="preserve">Track Records</t>
  </si>
  <si>
    <t xml:space="preserve">1km standing start TT</t>
  </si>
  <si>
    <t xml:space="preserve">Rob Cox</t>
  </si>
  <si>
    <t xml:space="preserve">3km individual pursuit</t>
  </si>
  <si>
    <t xml:space="preserve">Mark Fraser</t>
  </si>
  <si>
    <t xml:space="preserve">Hill Climb</t>
  </si>
  <si>
    <t xml:space="preserve">Beechwood</t>
  </si>
  <si>
    <t xml:space="preserve">Colin Chapman</t>
  </si>
  <si>
    <t xml:space="preserve">Jenny Ousey</t>
  </si>
  <si>
    <t xml:space="preserve">Jackie Harris (juv)</t>
  </si>
  <si>
    <t xml:space="preserve">Jackie Harris</t>
  </si>
  <si>
    <t xml:space="preserve">Brinkley</t>
  </si>
  <si>
    <t xml:space="preserve">Kai Egan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</si>
</sst>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hh:mm:ss"/>
    <numFmt numFmtId="166" formatCode="0.0"/>
    <numFmt numFmtId="167" formatCode="0.00"/>
    <numFmt numFmtId="168" formatCode="mm:ss"/>
    <numFmt numFmtId="169" formatCode="mm:ss.0"/>
    <numFmt numFmtId="170" formatCode="hh:mm"/>
  </numFmts>
  <fonts count="11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2"/>
      <color rgb="FF000000"/>
      <name val="Arial Narrow"/>
      <family val="2"/>
      <charset val="1"/>
    </font>
    <font>
      <i val="true"/>
      <sz val="12"/>
      <color rgb="FF000000"/>
      <name val="Arial Narrow"/>
      <family val="2"/>
      <charset val="1"/>
    </font>
    <font>
      <sz val="12"/>
      <color rgb="FF000000"/>
      <name val="Arial Narrow"/>
      <family val="2"/>
      <charset val="1"/>
    </font>
    <font>
      <b val="true"/>
      <sz val="11"/>
      <color rgb="FF000000"/>
      <name val="Aptos Narrow"/>
      <family val="2"/>
      <charset val="1"/>
    </font>
    <font>
      <i val="true"/>
      <sz val="11"/>
      <color rgb="FF000000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sz val="9"/>
      <color rgb="FF000000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859375" defaultRowHeight="13.8" zeroHeight="false" outlineLevelRow="0" outlineLevelCol="0"/>
  <cols>
    <col collapsed="false" customWidth="true" hidden="false" outlineLevel="0" max="1" min="1" style="0" width="9.15"/>
    <col collapsed="false" customWidth="true" hidden="false" outlineLevel="0" max="2" min="2" style="0" width="7.2"/>
    <col collapsed="false" customWidth="true" hidden="false" outlineLevel="0" max="3" min="3" style="0" width="15.54"/>
    <col collapsed="false" customWidth="true" hidden="false" outlineLevel="0" max="4" min="4" style="0" width="51.11"/>
    <col collapsed="false" customWidth="true" hidden="false" outlineLevel="0" max="7" min="7" style="0" width="9.11"/>
    <col collapsed="false" customWidth="true" hidden="false" outlineLevel="0" max="8" min="8" style="0" width="9.55"/>
    <col collapsed="false" customWidth="true" hidden="false" outlineLevel="0" max="1024" min="1024" style="0" width="9.14"/>
  </cols>
  <sheetData>
    <row r="1" customFormat="false" ht="15" hidden="false" customHeight="false" outlineLevel="0" collapsed="false">
      <c r="A1" s="1" t="s">
        <v>0</v>
      </c>
    </row>
    <row r="2" customFormat="false" ht="14.25" hidden="false" customHeight="false" outlineLevel="0" collapsed="false"/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6" customFormat="false" ht="13.8" hidden="false" customHeight="false" outlineLevel="0" collapsed="false">
      <c r="A6" s="3" t="s">
        <v>3</v>
      </c>
    </row>
    <row r="7" s="4" customFormat="true" ht="13.8" hidden="false" customHeight="false" outlineLevel="0" collapsed="false">
      <c r="D7" s="4" t="s">
        <v>4</v>
      </c>
      <c r="F7" s="5" t="s">
        <v>5</v>
      </c>
      <c r="G7" s="5" t="s">
        <v>6</v>
      </c>
      <c r="H7" s="5" t="s">
        <v>7</v>
      </c>
      <c r="AMJ7" s="0"/>
    </row>
    <row r="8" customFormat="false" ht="13.8" hidden="false" customHeight="false" outlineLevel="0" collapsed="false">
      <c r="A8" s="0" t="s">
        <v>8</v>
      </c>
      <c r="B8" s="0" t="s">
        <v>9</v>
      </c>
      <c r="C8" s="0" t="s">
        <v>10</v>
      </c>
      <c r="D8" s="6" t="s">
        <v>11</v>
      </c>
      <c r="E8" s="6"/>
      <c r="F8" s="7" t="n">
        <v>2024</v>
      </c>
      <c r="G8" s="8" t="n">
        <v>0.0074537037037037</v>
      </c>
      <c r="H8" s="9" t="n">
        <f aca="false">5/(G8*24)</f>
        <v>27.9503105590062</v>
      </c>
    </row>
    <row r="9" customFormat="false" ht="13.8" hidden="false" customHeight="false" outlineLevel="0" collapsed="false">
      <c r="C9" s="0" t="s">
        <v>12</v>
      </c>
      <c r="D9" s="6" t="s">
        <v>13</v>
      </c>
      <c r="E9" s="6"/>
      <c r="F9" s="7" t="n">
        <v>2025</v>
      </c>
      <c r="G9" s="8" t="n">
        <v>0.00811342592592593</v>
      </c>
      <c r="H9" s="9" t="n">
        <f aca="false">5/(G9*24)</f>
        <v>25.6776034236805</v>
      </c>
    </row>
    <row r="10" customFormat="false" ht="13.8" hidden="false" customHeight="false" outlineLevel="0" collapsed="false">
      <c r="C10" s="0" t="s">
        <v>14</v>
      </c>
      <c r="D10" s="6" t="s">
        <v>15</v>
      </c>
      <c r="E10" s="6"/>
      <c r="F10" s="7" t="n">
        <v>2025</v>
      </c>
      <c r="G10" s="8" t="n">
        <v>0.00811342592592593</v>
      </c>
      <c r="H10" s="9" t="n">
        <f aca="false">5/(G10*24)</f>
        <v>25.6776034236805</v>
      </c>
    </row>
    <row r="11" customFormat="false" ht="13.8" hidden="false" customHeight="false" outlineLevel="0" collapsed="false">
      <c r="C11" s="0" t="s">
        <v>16</v>
      </c>
      <c r="D11" s="0" t="s">
        <v>15</v>
      </c>
      <c r="F11" s="10" t="n">
        <v>2023</v>
      </c>
      <c r="G11" s="11" t="n">
        <v>0.00862268518518519</v>
      </c>
      <c r="H11" s="12" t="n">
        <f aca="false">5/(G11*24)</f>
        <v>24.1610738255033</v>
      </c>
    </row>
    <row r="12" customFormat="false" ht="13.8" hidden="false" customHeight="false" outlineLevel="0" collapsed="false">
      <c r="B12" s="0" t="s">
        <v>17</v>
      </c>
      <c r="C12" s="0" t="s">
        <v>10</v>
      </c>
      <c r="D12" s="6" t="s">
        <v>18</v>
      </c>
      <c r="E12" s="6"/>
      <c r="F12" s="7" t="n">
        <v>2024</v>
      </c>
      <c r="G12" s="8" t="n">
        <v>0.00842592592592593</v>
      </c>
      <c r="H12" s="9" t="n">
        <f aca="false">5/(G12*24)</f>
        <v>24.7252747252747</v>
      </c>
    </row>
    <row r="13" customFormat="false" ht="13.8" hidden="false" customHeight="false" outlineLevel="0" collapsed="false">
      <c r="C13" s="0" t="s">
        <v>12</v>
      </c>
      <c r="D13" s="0" t="s">
        <v>19</v>
      </c>
      <c r="F13" s="10" t="n">
        <v>2024</v>
      </c>
      <c r="G13" s="11" t="n">
        <v>0.00952546296296296</v>
      </c>
      <c r="H13" s="12" t="n">
        <f aca="false">5/(G13*24)</f>
        <v>21.8712029161604</v>
      </c>
    </row>
    <row r="14" customFormat="false" ht="13.8" hidden="false" customHeight="false" outlineLevel="0" collapsed="false">
      <c r="C14" s="0" t="s">
        <v>14</v>
      </c>
      <c r="D14" s="0" t="s">
        <v>19</v>
      </c>
      <c r="F14" s="10" t="n">
        <v>2024</v>
      </c>
      <c r="G14" s="11" t="n">
        <v>0.00952546296296296</v>
      </c>
      <c r="H14" s="12" t="n">
        <f aca="false">5/(G14*24)</f>
        <v>21.8712029161604</v>
      </c>
    </row>
    <row r="15" customFormat="false" ht="13.8" hidden="false" customHeight="false" outlineLevel="0" collapsed="false">
      <c r="C15" s="0" t="s">
        <v>16</v>
      </c>
      <c r="D15" s="0" t="s">
        <v>20</v>
      </c>
      <c r="F15" s="10" t="n">
        <v>2024</v>
      </c>
      <c r="G15" s="11" t="n">
        <v>0.00952546296296296</v>
      </c>
      <c r="H15" s="12" t="n">
        <f aca="false">5/(G15*24)</f>
        <v>21.8712029161604</v>
      </c>
    </row>
    <row r="16" customFormat="false" ht="13.8" hidden="false" customHeight="false" outlineLevel="0" collapsed="false">
      <c r="F16" s="10"/>
      <c r="G16" s="10"/>
      <c r="H16" s="10"/>
    </row>
    <row r="17" customFormat="false" ht="13.8" hidden="false" customHeight="false" outlineLevel="0" collapsed="false">
      <c r="A17" s="0" t="s">
        <v>21</v>
      </c>
      <c r="B17" s="0" t="s">
        <v>9</v>
      </c>
      <c r="C17" s="0" t="s">
        <v>10</v>
      </c>
      <c r="D17" s="0" t="s">
        <v>22</v>
      </c>
      <c r="F17" s="10" t="n">
        <v>2024</v>
      </c>
      <c r="G17" s="11" t="n">
        <v>0.0123148148148148</v>
      </c>
      <c r="H17" s="12" t="n">
        <f aca="false">10/(G17*24)</f>
        <v>33.8345864661655</v>
      </c>
    </row>
    <row r="18" customFormat="false" ht="13.8" hidden="false" customHeight="false" outlineLevel="0" collapsed="false">
      <c r="C18" s="0" t="s">
        <v>12</v>
      </c>
      <c r="D18" s="0" t="s">
        <v>23</v>
      </c>
      <c r="F18" s="10" t="n">
        <v>2006</v>
      </c>
      <c r="G18" s="11" t="n">
        <v>0.0146180555555556</v>
      </c>
      <c r="H18" s="12" t="n">
        <f aca="false">10/(G18*24)</f>
        <v>28.5035629453681</v>
      </c>
    </row>
    <row r="19" customFormat="false" ht="13.8" hidden="false" customHeight="false" outlineLevel="0" collapsed="false">
      <c r="C19" s="0" t="s">
        <v>14</v>
      </c>
      <c r="D19" s="0" t="s">
        <v>24</v>
      </c>
      <c r="F19" s="10" t="n">
        <v>1989</v>
      </c>
      <c r="G19" s="11" t="n">
        <v>0.0146296296296296</v>
      </c>
      <c r="H19" s="12" t="n">
        <f aca="false">10/(G19*24)</f>
        <v>28.4810126582279</v>
      </c>
    </row>
    <row r="20" customFormat="false" ht="13.8" hidden="false" customHeight="false" outlineLevel="0" collapsed="false">
      <c r="C20" s="0" t="s">
        <v>16</v>
      </c>
      <c r="D20" s="0" t="s">
        <v>24</v>
      </c>
      <c r="F20" s="10" t="n">
        <v>1987</v>
      </c>
      <c r="G20" s="11" t="n">
        <v>0.0160763888888889</v>
      </c>
      <c r="H20" s="12" t="n">
        <f aca="false">10/(G20*24)</f>
        <v>25.9179265658747</v>
      </c>
    </row>
    <row r="21" customFormat="false" ht="13.8" hidden="false" customHeight="false" outlineLevel="0" collapsed="false">
      <c r="B21" s="0" t="s">
        <v>17</v>
      </c>
      <c r="C21" s="0" t="s">
        <v>10</v>
      </c>
      <c r="D21" s="0" t="s">
        <v>25</v>
      </c>
      <c r="F21" s="10" t="n">
        <v>2020</v>
      </c>
      <c r="G21" s="11" t="n">
        <v>0.0145949074074074</v>
      </c>
      <c r="H21" s="12" t="n">
        <f aca="false">10/(G21*24)</f>
        <v>28.5487708168121</v>
      </c>
    </row>
    <row r="22" customFormat="false" ht="13.8" hidden="false" customHeight="false" outlineLevel="0" collapsed="false">
      <c r="C22" s="0" t="s">
        <v>12</v>
      </c>
      <c r="D22" s="0" t="s">
        <v>26</v>
      </c>
      <c r="F22" s="10" t="n">
        <v>1978</v>
      </c>
      <c r="G22" s="11" t="n">
        <v>0.018599537037037</v>
      </c>
      <c r="H22" s="12" t="n">
        <f aca="false">10/(G22*24)</f>
        <v>22.4019912881145</v>
      </c>
    </row>
    <row r="23" customFormat="false" ht="13.8" hidden="false" customHeight="false" outlineLevel="0" collapsed="false">
      <c r="C23" s="0" t="s">
        <v>14</v>
      </c>
      <c r="D23" s="0" t="s">
        <v>26</v>
      </c>
      <c r="F23" s="10" t="n">
        <v>1978</v>
      </c>
      <c r="G23" s="11" t="n">
        <v>0.018599537037037</v>
      </c>
      <c r="H23" s="12" t="n">
        <f aca="false">10/(G23*24)</f>
        <v>22.4019912881145</v>
      </c>
    </row>
    <row r="24" customFormat="false" ht="13.8" hidden="false" customHeight="false" outlineLevel="0" collapsed="false">
      <c r="C24" s="0" t="s">
        <v>16</v>
      </c>
      <c r="D24" s="0" t="s">
        <v>27</v>
      </c>
      <c r="F24" s="10" t="n">
        <v>1978</v>
      </c>
      <c r="G24" s="11" t="n">
        <v>0.018599537037037</v>
      </c>
      <c r="H24" s="12" t="n">
        <f aca="false">10/(G24*24)</f>
        <v>22.4019912881145</v>
      </c>
    </row>
    <row r="25" customFormat="false" ht="13.8" hidden="false" customHeight="false" outlineLevel="0" collapsed="false">
      <c r="F25" s="10"/>
      <c r="G25" s="10"/>
      <c r="H25" s="10"/>
    </row>
    <row r="26" customFormat="false" ht="13.8" hidden="false" customHeight="false" outlineLevel="0" collapsed="false">
      <c r="A26" s="0" t="s">
        <v>28</v>
      </c>
      <c r="C26" s="0" t="s">
        <v>10</v>
      </c>
      <c r="D26" s="0" t="s">
        <v>29</v>
      </c>
      <c r="F26" s="10" t="n">
        <v>2019</v>
      </c>
      <c r="G26" s="11" t="n">
        <v>0.0411805555555556</v>
      </c>
      <c r="H26" s="12" t="n">
        <f aca="false">30/(G26*24)</f>
        <v>30.35413153457</v>
      </c>
    </row>
    <row r="27" customFormat="false" ht="13.8" hidden="false" customHeight="false" outlineLevel="0" collapsed="false">
      <c r="C27" s="0" t="s">
        <v>12</v>
      </c>
      <c r="D27" s="0" t="s">
        <v>30</v>
      </c>
      <c r="F27" s="10" t="n">
        <v>2006</v>
      </c>
      <c r="G27" s="11" t="n">
        <v>0.0525</v>
      </c>
      <c r="H27" s="12" t="n">
        <f aca="false">30/(G27*24)</f>
        <v>23.8095238095238</v>
      </c>
    </row>
    <row r="28" customFormat="false" ht="13.8" hidden="false" customHeight="false" outlineLevel="0" collapsed="false">
      <c r="F28" s="10"/>
      <c r="G28" s="10"/>
      <c r="H28" s="10"/>
    </row>
    <row r="29" customFormat="false" ht="13.8" hidden="false" customHeight="false" outlineLevel="0" collapsed="false">
      <c r="A29" s="0" t="s">
        <v>31</v>
      </c>
      <c r="B29" s="0" t="s">
        <v>9</v>
      </c>
      <c r="C29" s="0" t="s">
        <v>10</v>
      </c>
      <c r="D29" s="0" t="s">
        <v>32</v>
      </c>
      <c r="F29" s="10" t="n">
        <v>2019</v>
      </c>
      <c r="G29" s="11" t="n">
        <v>0.0209722222222222</v>
      </c>
      <c r="H29" s="12" t="n">
        <f aca="false">15/(G29*24)</f>
        <v>29.8013245033113</v>
      </c>
    </row>
    <row r="30" customFormat="false" ht="13.8" hidden="false" customHeight="false" outlineLevel="0" collapsed="false">
      <c r="C30" s="0" t="s">
        <v>12</v>
      </c>
      <c r="D30" s="0" t="s">
        <v>23</v>
      </c>
      <c r="F30" s="10" t="n">
        <v>2006</v>
      </c>
      <c r="G30" s="11" t="n">
        <v>0.0250115740740741</v>
      </c>
      <c r="H30" s="12" t="n">
        <f aca="false">15/(G30*24)</f>
        <v>24.988431281814</v>
      </c>
    </row>
    <row r="31" customFormat="false" ht="13.8" hidden="false" customHeight="false" outlineLevel="0" collapsed="false">
      <c r="C31" s="0" t="s">
        <v>14</v>
      </c>
      <c r="D31" s="0" t="s">
        <v>24</v>
      </c>
      <c r="F31" s="10" t="n">
        <v>1989</v>
      </c>
      <c r="G31" s="11" t="n">
        <v>0.0250231481481481</v>
      </c>
      <c r="H31" s="12" t="n">
        <f aca="false">15/(G31*24)</f>
        <v>24.976873265495</v>
      </c>
    </row>
    <row r="32" customFormat="false" ht="13.8" hidden="false" customHeight="false" outlineLevel="0" collapsed="false">
      <c r="C32" s="0" t="s">
        <v>16</v>
      </c>
      <c r="D32" s="4" t="s">
        <v>33</v>
      </c>
      <c r="F32" s="10"/>
      <c r="G32" s="10"/>
      <c r="H32" s="10"/>
    </row>
    <row r="33" customFormat="false" ht="13.8" hidden="false" customHeight="false" outlineLevel="0" collapsed="false">
      <c r="B33" s="0" t="s">
        <v>17</v>
      </c>
      <c r="C33" s="0" t="s">
        <v>10</v>
      </c>
      <c r="D33" s="6" t="s">
        <v>18</v>
      </c>
      <c r="E33" s="6"/>
      <c r="F33" s="7" t="n">
        <v>2025</v>
      </c>
      <c r="G33" s="8" t="n">
        <v>0.024837962962963</v>
      </c>
      <c r="H33" s="9" t="n">
        <f aca="false">15/(G33*24)</f>
        <v>25.1630941286114</v>
      </c>
    </row>
    <row r="34" customFormat="false" ht="13.8" hidden="false" customHeight="false" outlineLevel="0" collapsed="false">
      <c r="C34" s="0" t="s">
        <v>12</v>
      </c>
      <c r="D34" s="0" t="s">
        <v>34</v>
      </c>
      <c r="F34" s="10" t="n">
        <v>1974</v>
      </c>
      <c r="G34" s="11" t="n">
        <v>0.0316666666666667</v>
      </c>
      <c r="H34" s="12" t="n">
        <f aca="false">15/(G34*24)</f>
        <v>19.7368421052631</v>
      </c>
    </row>
    <row r="35" customFormat="false" ht="13.8" hidden="false" customHeight="false" outlineLevel="0" collapsed="false">
      <c r="C35" s="0" t="s">
        <v>14</v>
      </c>
      <c r="D35" s="0" t="s">
        <v>35</v>
      </c>
      <c r="F35" s="10" t="n">
        <v>1974</v>
      </c>
      <c r="G35" s="11" t="n">
        <v>0.0315509259259259</v>
      </c>
      <c r="H35" s="12" t="n">
        <f aca="false">15/(G35*24)</f>
        <v>19.8092443140132</v>
      </c>
    </row>
    <row r="36" customFormat="false" ht="13.8" hidden="false" customHeight="false" outlineLevel="0" collapsed="false">
      <c r="C36" s="0" t="s">
        <v>16</v>
      </c>
      <c r="D36" s="4" t="s">
        <v>33</v>
      </c>
      <c r="F36" s="10"/>
      <c r="G36" s="10"/>
      <c r="H36" s="10"/>
    </row>
    <row r="37" customFormat="false" ht="13.8" hidden="false" customHeight="false" outlineLevel="0" collapsed="false">
      <c r="D37" s="4"/>
      <c r="F37" s="10"/>
      <c r="G37" s="10"/>
      <c r="H37" s="10"/>
    </row>
    <row r="38" customFormat="false" ht="13.8" hidden="false" customHeight="false" outlineLevel="0" collapsed="false">
      <c r="A38" s="0" t="s">
        <v>36</v>
      </c>
      <c r="D38" s="0" t="s">
        <v>37</v>
      </c>
      <c r="F38" s="10" t="n">
        <v>2019</v>
      </c>
      <c r="G38" s="11" t="n">
        <v>0.0635416666666667</v>
      </c>
      <c r="H38" s="12" t="n">
        <f aca="false">45/(G38*24)</f>
        <v>29.5081967213115</v>
      </c>
    </row>
    <row r="39" customFormat="false" ht="13.8" hidden="false" customHeight="false" outlineLevel="0" collapsed="false">
      <c r="F39" s="10"/>
      <c r="G39" s="10"/>
      <c r="H39" s="10"/>
    </row>
    <row r="40" customFormat="false" ht="13.8" hidden="false" customHeight="false" outlineLevel="0" collapsed="false">
      <c r="A40" s="0" t="s">
        <v>38</v>
      </c>
      <c r="B40" s="0" t="s">
        <v>9</v>
      </c>
      <c r="C40" s="0" t="s">
        <v>10</v>
      </c>
      <c r="D40" s="0" t="s">
        <v>39</v>
      </c>
      <c r="F40" s="10" t="n">
        <v>2017</v>
      </c>
      <c r="G40" s="11" t="n">
        <v>0.0340393518518518</v>
      </c>
      <c r="H40" s="12" t="n">
        <f aca="false">25/(G40*24)</f>
        <v>30.6018361101667</v>
      </c>
    </row>
    <row r="41" customFormat="false" ht="13.8" hidden="false" customHeight="false" outlineLevel="0" collapsed="false">
      <c r="C41" s="0" t="s">
        <v>12</v>
      </c>
      <c r="D41" s="0" t="s">
        <v>32</v>
      </c>
      <c r="F41" s="10" t="n">
        <v>2000</v>
      </c>
      <c r="G41" s="11" t="n">
        <v>0.0371064814814815</v>
      </c>
      <c r="H41" s="12" t="n">
        <f aca="false">25/(G41*24)</f>
        <v>28.0723643169058</v>
      </c>
    </row>
    <row r="42" customFormat="false" ht="13.8" hidden="false" customHeight="false" outlineLevel="0" collapsed="false">
      <c r="C42" s="0" t="s">
        <v>14</v>
      </c>
      <c r="D42" s="6" t="s">
        <v>15</v>
      </c>
      <c r="E42" s="6"/>
      <c r="F42" s="7" t="n">
        <v>2025</v>
      </c>
      <c r="G42" s="8" t="n">
        <v>0.0416319444444444</v>
      </c>
      <c r="H42" s="9" t="n">
        <f aca="false">25/(G42*24)</f>
        <v>25.0208507089241</v>
      </c>
    </row>
    <row r="43" customFormat="false" ht="13.8" hidden="false" customHeight="false" outlineLevel="0" collapsed="false">
      <c r="C43" s="0" t="s">
        <v>16</v>
      </c>
      <c r="D43" s="0" t="s">
        <v>40</v>
      </c>
      <c r="F43" s="10" t="n">
        <v>1968</v>
      </c>
      <c r="G43" s="11" t="n">
        <v>0.0462384259259259</v>
      </c>
      <c r="H43" s="12" t="n">
        <f aca="false">25/(G43*24)</f>
        <v>22.5281602002503</v>
      </c>
    </row>
    <row r="44" customFormat="false" ht="13.8" hidden="false" customHeight="false" outlineLevel="0" collapsed="false">
      <c r="B44" s="0" t="s">
        <v>17</v>
      </c>
      <c r="C44" s="0" t="s">
        <v>10</v>
      </c>
      <c r="D44" s="0" t="s">
        <v>41</v>
      </c>
      <c r="F44" s="10" t="n">
        <v>2001</v>
      </c>
      <c r="G44" s="11" t="n">
        <v>0.0400578703703704</v>
      </c>
      <c r="H44" s="12" t="n">
        <f aca="false">25/(G44*24)</f>
        <v>26.0040450736781</v>
      </c>
    </row>
    <row r="45" customFormat="false" ht="13.8" hidden="false" customHeight="false" outlineLevel="0" collapsed="false">
      <c r="C45" s="0" t="s">
        <v>12</v>
      </c>
      <c r="D45" s="0" t="s">
        <v>42</v>
      </c>
      <c r="F45" s="10" t="n">
        <v>1975</v>
      </c>
      <c r="G45" s="11" t="n">
        <v>0.0474421296296296</v>
      </c>
      <c r="H45" s="12" t="n">
        <f aca="false">25/(G45*24)</f>
        <v>21.9565747743352</v>
      </c>
    </row>
    <row r="46" customFormat="false" ht="13.8" hidden="false" customHeight="false" outlineLevel="0" collapsed="false">
      <c r="C46" s="0" t="s">
        <v>14</v>
      </c>
      <c r="D46" s="0" t="s">
        <v>43</v>
      </c>
      <c r="F46" s="10" t="n">
        <v>1973</v>
      </c>
      <c r="G46" s="11" t="n">
        <v>0.0501967592592593</v>
      </c>
      <c r="H46" s="12" t="n">
        <f aca="false">25/(G46*24)</f>
        <v>20.7516716624395</v>
      </c>
    </row>
    <row r="47" customFormat="false" ht="13.8" hidden="false" customHeight="false" outlineLevel="0" collapsed="false">
      <c r="C47" s="0" t="s">
        <v>16</v>
      </c>
      <c r="D47" s="0" t="s">
        <v>44</v>
      </c>
      <c r="F47" s="10" t="n">
        <v>1973</v>
      </c>
      <c r="G47" s="11" t="n">
        <v>0.0535185185185185</v>
      </c>
      <c r="H47" s="12" t="n">
        <f aca="false">25/(G47*24)</f>
        <v>19.4636678200692</v>
      </c>
    </row>
    <row r="48" customFormat="false" ht="13.8" hidden="false" customHeight="false" outlineLevel="0" collapsed="false">
      <c r="F48" s="10"/>
      <c r="G48" s="10"/>
      <c r="H48" s="10"/>
    </row>
    <row r="49" customFormat="false" ht="13.8" hidden="false" customHeight="false" outlineLevel="0" collapsed="false">
      <c r="A49" s="0" t="s">
        <v>45</v>
      </c>
      <c r="C49" s="0" t="s">
        <v>10</v>
      </c>
      <c r="D49" s="0" t="s">
        <v>46</v>
      </c>
      <c r="F49" s="10" t="n">
        <v>2019</v>
      </c>
      <c r="G49" s="11" t="n">
        <v>0.105775462962963</v>
      </c>
      <c r="H49" s="12" t="n">
        <f aca="false">75/(G49*24)</f>
        <v>29.5437137542401</v>
      </c>
    </row>
    <row r="50" customFormat="false" ht="13.8" hidden="false" customHeight="false" outlineLevel="0" collapsed="false">
      <c r="F50" s="10"/>
      <c r="G50" s="10"/>
      <c r="H50" s="10"/>
    </row>
    <row r="51" customFormat="false" ht="13.8" hidden="false" customHeight="false" outlineLevel="0" collapsed="false">
      <c r="A51" s="0" t="s">
        <v>47</v>
      </c>
      <c r="B51" s="0" t="s">
        <v>9</v>
      </c>
      <c r="C51" s="0" t="s">
        <v>10</v>
      </c>
      <c r="D51" s="0" t="s">
        <v>48</v>
      </c>
      <c r="F51" s="10" t="n">
        <v>2018</v>
      </c>
      <c r="G51" s="11" t="n">
        <v>0.0429050925925926</v>
      </c>
      <c r="H51" s="12" t="n">
        <f aca="false">30/(G51*24)</f>
        <v>29.1340706770974</v>
      </c>
    </row>
    <row r="52" customFormat="false" ht="13.8" hidden="false" customHeight="false" outlineLevel="0" collapsed="false">
      <c r="C52" s="0" t="s">
        <v>12</v>
      </c>
      <c r="D52" s="0" t="s">
        <v>49</v>
      </c>
      <c r="F52" s="10" t="n">
        <v>1991</v>
      </c>
      <c r="G52" s="11" t="n">
        <v>0.0472685185185185</v>
      </c>
      <c r="H52" s="12" t="n">
        <f aca="false">30/(G52*24)</f>
        <v>26.4446620959843</v>
      </c>
    </row>
    <row r="53" customFormat="false" ht="13.8" hidden="false" customHeight="false" outlineLevel="0" collapsed="false">
      <c r="C53" s="0" t="s">
        <v>14</v>
      </c>
      <c r="D53" s="0" t="s">
        <v>50</v>
      </c>
      <c r="F53" s="10" t="n">
        <v>1981</v>
      </c>
      <c r="G53" s="11" t="n">
        <v>0.0539699074074074</v>
      </c>
      <c r="H53" s="12" t="n">
        <f aca="false">30/(G53*24)</f>
        <v>23.161055114733</v>
      </c>
    </row>
    <row r="54" customFormat="false" ht="13.8" hidden="false" customHeight="false" outlineLevel="0" collapsed="false">
      <c r="C54" s="0" t="s">
        <v>16</v>
      </c>
      <c r="D54" s="4" t="s">
        <v>33</v>
      </c>
      <c r="F54" s="10"/>
      <c r="G54" s="10"/>
      <c r="H54" s="10"/>
    </row>
    <row r="55" customFormat="false" ht="13.8" hidden="false" customHeight="false" outlineLevel="0" collapsed="false">
      <c r="B55" s="0" t="s">
        <v>17</v>
      </c>
      <c r="C55" s="0" t="s">
        <v>10</v>
      </c>
      <c r="D55" s="0" t="s">
        <v>51</v>
      </c>
      <c r="F55" s="10" t="n">
        <v>2008</v>
      </c>
      <c r="G55" s="11" t="n">
        <v>0.0529861111111111</v>
      </c>
      <c r="H55" s="12" t="n">
        <f aca="false">30/(G55*24)</f>
        <v>23.5910878112713</v>
      </c>
    </row>
    <row r="56" customFormat="false" ht="13.8" hidden="false" customHeight="false" outlineLevel="0" collapsed="false">
      <c r="C56" s="0" t="s">
        <v>12</v>
      </c>
      <c r="D56" s="4" t="s">
        <v>33</v>
      </c>
      <c r="F56" s="10"/>
      <c r="G56" s="10"/>
      <c r="H56" s="10"/>
    </row>
    <row r="57" customFormat="false" ht="13.8" hidden="false" customHeight="false" outlineLevel="0" collapsed="false">
      <c r="C57" s="0" t="s">
        <v>14</v>
      </c>
      <c r="D57" s="4" t="s">
        <v>33</v>
      </c>
      <c r="F57" s="10"/>
      <c r="G57" s="10"/>
      <c r="H57" s="10"/>
    </row>
    <row r="58" customFormat="false" ht="13.8" hidden="false" customHeight="false" outlineLevel="0" collapsed="false">
      <c r="C58" s="0" t="s">
        <v>16</v>
      </c>
      <c r="D58" s="4" t="s">
        <v>33</v>
      </c>
      <c r="F58" s="10"/>
      <c r="G58" s="10"/>
      <c r="H58" s="10"/>
    </row>
    <row r="59" customFormat="false" ht="13.8" hidden="false" customHeight="false" outlineLevel="0" collapsed="false">
      <c r="F59" s="10"/>
      <c r="G59" s="10"/>
      <c r="H59" s="10"/>
    </row>
    <row r="60" customFormat="false" ht="13.8" hidden="false" customHeight="false" outlineLevel="0" collapsed="false">
      <c r="A60" s="0" t="s">
        <v>52</v>
      </c>
      <c r="C60" s="0" t="s">
        <v>10</v>
      </c>
      <c r="D60" s="0" t="s">
        <v>53</v>
      </c>
      <c r="F60" s="10" t="n">
        <v>2018</v>
      </c>
      <c r="G60" s="11" t="n">
        <v>0.130763888888889</v>
      </c>
      <c r="H60" s="12" t="n">
        <f aca="false">90/(G60*24)</f>
        <v>28.6776420605417</v>
      </c>
    </row>
    <row r="61" customFormat="false" ht="13.8" hidden="false" customHeight="false" outlineLevel="0" collapsed="false">
      <c r="F61" s="10"/>
      <c r="G61" s="10"/>
      <c r="H61" s="10"/>
    </row>
    <row r="62" customFormat="false" ht="13.8" hidden="false" customHeight="false" outlineLevel="0" collapsed="false">
      <c r="F62" s="10"/>
      <c r="G62" s="10"/>
      <c r="H62" s="10"/>
    </row>
    <row r="63" customFormat="false" ht="13.8" hidden="false" customHeight="false" outlineLevel="0" collapsed="false">
      <c r="A63" s="0" t="s">
        <v>54</v>
      </c>
      <c r="B63" s="0" t="s">
        <v>9</v>
      </c>
      <c r="C63" s="0" t="s">
        <v>10</v>
      </c>
      <c r="D63" s="0" t="s">
        <v>39</v>
      </c>
      <c r="F63" s="10" t="n">
        <v>2017</v>
      </c>
      <c r="G63" s="11" t="n">
        <v>0.0684027777777778</v>
      </c>
      <c r="H63" s="12" t="n">
        <f aca="false">50/(G63*24)</f>
        <v>30.4568527918782</v>
      </c>
    </row>
    <row r="64" customFormat="false" ht="13.8" hidden="false" customHeight="false" outlineLevel="0" collapsed="false">
      <c r="C64" s="0" t="s">
        <v>12</v>
      </c>
      <c r="D64" s="0" t="s">
        <v>55</v>
      </c>
      <c r="F64" s="10" t="n">
        <v>1982</v>
      </c>
      <c r="G64" s="11" t="n">
        <v>0.0814814814814815</v>
      </c>
      <c r="H64" s="12" t="n">
        <f aca="false">50/(G64*24)</f>
        <v>25.5681818181818</v>
      </c>
    </row>
    <row r="65" customFormat="false" ht="13.8" hidden="false" customHeight="false" outlineLevel="0" collapsed="false">
      <c r="B65" s="0" t="s">
        <v>17</v>
      </c>
      <c r="C65" s="0" t="s">
        <v>10</v>
      </c>
      <c r="D65" s="0" t="s">
        <v>56</v>
      </c>
      <c r="F65" s="10" t="n">
        <v>2012</v>
      </c>
      <c r="G65" s="11" t="n">
        <v>0.0803125</v>
      </c>
      <c r="H65" s="12" t="n">
        <f aca="false">50/(G65*24)</f>
        <v>25.9403372243839</v>
      </c>
    </row>
    <row r="66" customFormat="false" ht="13.8" hidden="false" customHeight="false" outlineLevel="0" collapsed="false">
      <c r="C66" s="0" t="s">
        <v>12</v>
      </c>
      <c r="D66" s="4" t="s">
        <v>33</v>
      </c>
      <c r="F66" s="10"/>
      <c r="G66" s="10"/>
      <c r="H66" s="10"/>
    </row>
    <row r="67" customFormat="false" ht="13.8" hidden="false" customHeight="false" outlineLevel="0" collapsed="false">
      <c r="F67" s="10"/>
      <c r="G67" s="10"/>
      <c r="H67" s="10"/>
    </row>
    <row r="68" customFormat="false" ht="13.8" hidden="false" customHeight="false" outlineLevel="0" collapsed="false">
      <c r="A68" s="0" t="s">
        <v>57</v>
      </c>
      <c r="C68" s="0" t="s">
        <v>10</v>
      </c>
      <c r="D68" s="0" t="s">
        <v>58</v>
      </c>
      <c r="F68" s="10" t="n">
        <v>2017</v>
      </c>
      <c r="G68" s="11" t="n">
        <v>0.218680555555556</v>
      </c>
      <c r="H68" s="12" t="n">
        <f aca="false">150/(G68*24)</f>
        <v>28.5805017465862</v>
      </c>
    </row>
    <row r="69" customFormat="false" ht="13.8" hidden="false" customHeight="false" outlineLevel="0" collapsed="false">
      <c r="F69" s="10"/>
      <c r="G69" s="10"/>
      <c r="H69" s="10"/>
    </row>
    <row r="70" customFormat="false" ht="13.8" hidden="false" customHeight="false" outlineLevel="0" collapsed="false">
      <c r="F70" s="10"/>
      <c r="G70" s="10"/>
      <c r="H70" s="10"/>
    </row>
    <row r="71" customFormat="false" ht="13.8" hidden="false" customHeight="false" outlineLevel="0" collapsed="false">
      <c r="A71" s="0" t="s">
        <v>59</v>
      </c>
      <c r="B71" s="0" t="s">
        <v>9</v>
      </c>
      <c r="D71" s="0" t="s">
        <v>60</v>
      </c>
      <c r="F71" s="10" t="n">
        <v>2011</v>
      </c>
      <c r="G71" s="11" t="n">
        <v>0.1559375</v>
      </c>
      <c r="H71" s="10"/>
    </row>
    <row r="72" customFormat="false" ht="13.8" hidden="false" customHeight="false" outlineLevel="0" collapsed="false">
      <c r="B72" s="0" t="s">
        <v>17</v>
      </c>
      <c r="D72" s="4" t="s">
        <v>33</v>
      </c>
      <c r="F72" s="10"/>
      <c r="G72" s="10"/>
      <c r="H72" s="10"/>
    </row>
    <row r="73" customFormat="false" ht="13.8" hidden="false" customHeight="false" outlineLevel="0" collapsed="false">
      <c r="F73" s="10"/>
      <c r="G73" s="10"/>
      <c r="H73" s="10"/>
    </row>
    <row r="74" customFormat="false" ht="13.8" hidden="false" customHeight="false" outlineLevel="0" collapsed="false">
      <c r="A74" s="0" t="s">
        <v>61</v>
      </c>
      <c r="B74" s="0" t="s">
        <v>9</v>
      </c>
      <c r="D74" s="0" t="s">
        <v>62</v>
      </c>
      <c r="F74" s="10" t="n">
        <v>2007</v>
      </c>
      <c r="G74" s="10" t="n">
        <v>283.103</v>
      </c>
      <c r="H74" s="12" t="n">
        <f aca="false">G74/12</f>
        <v>23.5919166666667</v>
      </c>
    </row>
    <row r="75" customFormat="false" ht="13.8" hidden="false" customHeight="false" outlineLevel="0" collapsed="false">
      <c r="B75" s="0" t="s">
        <v>17</v>
      </c>
      <c r="D75" s="0" t="s">
        <v>63</v>
      </c>
      <c r="F75" s="10" t="n">
        <v>1990</v>
      </c>
      <c r="G75" s="13" t="n">
        <v>215.04</v>
      </c>
      <c r="H75" s="12" t="n">
        <f aca="false">G75/12</f>
        <v>17.92</v>
      </c>
    </row>
    <row r="76" customFormat="false" ht="13.8" hidden="false" customHeight="false" outlineLevel="0" collapsed="false">
      <c r="F76" s="10"/>
      <c r="G76" s="10"/>
      <c r="H76" s="10"/>
    </row>
    <row r="77" customFormat="false" ht="13.8" hidden="false" customHeight="false" outlineLevel="0" collapsed="false">
      <c r="A77" s="0" t="s">
        <v>64</v>
      </c>
      <c r="B77" s="0" t="s">
        <v>9</v>
      </c>
      <c r="D77" s="0" t="s">
        <v>65</v>
      </c>
      <c r="F77" s="10" t="n">
        <v>2023</v>
      </c>
      <c r="G77" s="10" t="n">
        <v>501.54</v>
      </c>
      <c r="H77" s="12" t="n">
        <f aca="false">G77/24</f>
        <v>20.8975</v>
      </c>
    </row>
    <row r="78" customFormat="false" ht="13.8" hidden="false" customHeight="false" outlineLevel="0" collapsed="false">
      <c r="B78" s="0" t="s">
        <v>17</v>
      </c>
      <c r="F78" s="10"/>
      <c r="G78" s="10"/>
      <c r="H78" s="10"/>
    </row>
    <row r="79" customFormat="false" ht="13.8" hidden="false" customHeight="false" outlineLevel="0" collapsed="false">
      <c r="F79" s="10"/>
      <c r="G79" s="10"/>
      <c r="H79" s="10"/>
    </row>
    <row r="80" customFormat="false" ht="13.8" hidden="false" customHeight="false" outlineLevel="0" collapsed="false">
      <c r="A80" s="3" t="s">
        <v>66</v>
      </c>
      <c r="C80" s="0" t="s">
        <v>67</v>
      </c>
      <c r="D80" s="0" t="s">
        <v>68</v>
      </c>
      <c r="F80" s="10" t="n">
        <v>2019</v>
      </c>
      <c r="G80" s="10"/>
      <c r="H80" s="12" t="n">
        <v>28.338</v>
      </c>
    </row>
    <row r="81" customFormat="false" ht="13.8" hidden="false" customHeight="false" outlineLevel="0" collapsed="false">
      <c r="C81" s="0" t="s">
        <v>69</v>
      </c>
      <c r="D81" s="0" t="s">
        <v>23</v>
      </c>
      <c r="F81" s="10" t="n">
        <v>2006</v>
      </c>
      <c r="G81" s="10"/>
      <c r="H81" s="12" t="n">
        <v>27.147</v>
      </c>
    </row>
    <row r="82" customFormat="false" ht="13.8" hidden="false" customHeight="false" outlineLevel="0" collapsed="false">
      <c r="F82" s="10"/>
      <c r="G82" s="10"/>
      <c r="H82" s="10"/>
    </row>
    <row r="83" customFormat="false" ht="13.8" hidden="false" customHeight="false" outlineLevel="0" collapsed="false">
      <c r="F83" s="10"/>
      <c r="G83" s="10"/>
      <c r="H83" s="10"/>
    </row>
    <row r="84" customFormat="false" ht="15" hidden="false" customHeight="false" outlineLevel="0" collapsed="false">
      <c r="A84" s="14" t="s">
        <v>70</v>
      </c>
      <c r="F84" s="10"/>
      <c r="G84" s="10"/>
      <c r="H84" s="10"/>
    </row>
    <row r="85" customFormat="false" ht="13.8" hidden="false" customHeight="false" outlineLevel="0" collapsed="false">
      <c r="F85" s="10"/>
      <c r="G85" s="10"/>
      <c r="H85" s="10"/>
    </row>
    <row r="86" customFormat="false" ht="13.8" hidden="false" customHeight="false" outlineLevel="0" collapsed="false">
      <c r="A86" s="0" t="s">
        <v>21</v>
      </c>
      <c r="C86" s="0" t="s">
        <v>10</v>
      </c>
      <c r="D86" s="0" t="s">
        <v>71</v>
      </c>
      <c r="F86" s="10" t="n">
        <v>2007</v>
      </c>
      <c r="G86" s="11" t="n">
        <v>0.0130439814814815</v>
      </c>
      <c r="H86" s="12" t="n">
        <f aca="false">10/(G86*24)</f>
        <v>31.9432120674356</v>
      </c>
    </row>
    <row r="87" customFormat="false" ht="13.8" hidden="false" customHeight="false" outlineLevel="0" collapsed="false">
      <c r="C87" s="0" t="s">
        <v>72</v>
      </c>
      <c r="D87" s="0" t="s">
        <v>73</v>
      </c>
      <c r="F87" s="10" t="n">
        <v>2002</v>
      </c>
      <c r="G87" s="11" t="n">
        <v>0.0136689814814815</v>
      </c>
      <c r="H87" s="12" t="n">
        <f aca="false">10/(G87*24)</f>
        <v>30.4826418289585</v>
      </c>
    </row>
    <row r="88" customFormat="false" ht="13.8" hidden="false" customHeight="false" outlineLevel="0" collapsed="false">
      <c r="C88" s="0" t="s">
        <v>74</v>
      </c>
      <c r="D88" s="0" t="s">
        <v>75</v>
      </c>
      <c r="F88" s="10" t="n">
        <v>2006</v>
      </c>
      <c r="G88" s="11" t="n">
        <v>0.0135185185185185</v>
      </c>
      <c r="H88" s="12" t="n">
        <f aca="false">10/(G88*24)</f>
        <v>30.8219178082192</v>
      </c>
    </row>
    <row r="89" customFormat="false" ht="13.8" hidden="false" customHeight="false" outlineLevel="0" collapsed="false">
      <c r="C89" s="0" t="s">
        <v>76</v>
      </c>
      <c r="D89" s="6" t="s">
        <v>77</v>
      </c>
      <c r="E89" s="6"/>
      <c r="F89" s="7" t="n">
        <v>2025</v>
      </c>
      <c r="G89" s="8" t="n">
        <v>0.0141550925925926</v>
      </c>
      <c r="H89" s="9" t="n">
        <f aca="false">10/(G89*24)</f>
        <v>29.4358135731807</v>
      </c>
    </row>
    <row r="90" customFormat="false" ht="13.8" hidden="false" customHeight="false" outlineLevel="0" collapsed="false">
      <c r="C90" s="0" t="s">
        <v>78</v>
      </c>
      <c r="D90" s="0" t="s">
        <v>77</v>
      </c>
      <c r="F90" s="10" t="n">
        <v>2023</v>
      </c>
      <c r="G90" s="11" t="n">
        <v>0.0150231481481482</v>
      </c>
      <c r="H90" s="12" t="n">
        <f aca="false">10/(G90*24)</f>
        <v>27.7349768875192</v>
      </c>
    </row>
    <row r="91" customFormat="false" ht="13.8" hidden="false" customHeight="false" outlineLevel="0" collapsed="false">
      <c r="C91" s="0" t="s">
        <v>79</v>
      </c>
      <c r="D91" s="0" t="s">
        <v>80</v>
      </c>
      <c r="F91" s="10" t="n">
        <v>1989</v>
      </c>
      <c r="G91" s="11" t="n">
        <v>0.0162268518518519</v>
      </c>
      <c r="H91" s="12" t="n">
        <f aca="false">10/(G91*24)</f>
        <v>25.6776034236804</v>
      </c>
    </row>
    <row r="92" customFormat="false" ht="13.8" hidden="false" customHeight="false" outlineLevel="0" collapsed="false">
      <c r="F92" s="10"/>
      <c r="G92" s="10"/>
      <c r="H92" s="10"/>
    </row>
    <row r="93" customFormat="false" ht="13.8" hidden="false" customHeight="false" outlineLevel="0" collapsed="false">
      <c r="A93" s="0" t="s">
        <v>31</v>
      </c>
      <c r="C93" s="0" t="s">
        <v>78</v>
      </c>
      <c r="D93" s="0" t="s">
        <v>77</v>
      </c>
      <c r="F93" s="10" t="n">
        <v>2023</v>
      </c>
      <c r="G93" s="11" t="n">
        <v>0.0229050925925926</v>
      </c>
      <c r="H93" s="12" t="n">
        <f aca="false">15/(G93*24)</f>
        <v>27.2865083375442</v>
      </c>
    </row>
    <row r="94" customFormat="false" ht="13.8" hidden="false" customHeight="false" outlineLevel="0" collapsed="false">
      <c r="F94" s="10"/>
      <c r="G94" s="10"/>
      <c r="H94" s="10"/>
    </row>
    <row r="95" customFormat="false" ht="13.8" hidden="false" customHeight="false" outlineLevel="0" collapsed="false">
      <c r="F95" s="10"/>
      <c r="G95" s="10"/>
      <c r="H95" s="10"/>
    </row>
    <row r="96" customFormat="false" ht="13.8" hidden="false" customHeight="false" outlineLevel="0" collapsed="false">
      <c r="A96" s="0" t="s">
        <v>38</v>
      </c>
      <c r="C96" s="0" t="s">
        <v>10</v>
      </c>
      <c r="D96" s="0" t="s">
        <v>81</v>
      </c>
      <c r="F96" s="10" t="n">
        <v>2026</v>
      </c>
      <c r="G96" s="11" t="n">
        <v>0.0349189814814815</v>
      </c>
      <c r="H96" s="12" t="n">
        <f aca="false">25/(G96*24)</f>
        <v>29.8309579052038</v>
      </c>
    </row>
    <row r="97" customFormat="false" ht="13.8" hidden="false" customHeight="false" outlineLevel="0" collapsed="false">
      <c r="C97" s="0" t="s">
        <v>72</v>
      </c>
      <c r="D97" s="0" t="s">
        <v>73</v>
      </c>
      <c r="F97" s="10" t="n">
        <v>2001</v>
      </c>
      <c r="G97" s="11" t="n">
        <v>0.0375115740740741</v>
      </c>
      <c r="H97" s="12" t="n">
        <f aca="false">25/(G97*24)</f>
        <v>27.7692070348658</v>
      </c>
    </row>
    <row r="98" customFormat="false" ht="13.8" hidden="false" customHeight="false" outlineLevel="0" collapsed="false">
      <c r="C98" s="0" t="s">
        <v>74</v>
      </c>
      <c r="D98" s="0" t="s">
        <v>81</v>
      </c>
      <c r="F98" s="10" t="n">
        <v>2006</v>
      </c>
      <c r="G98" s="11" t="n">
        <v>0.0349189814814815</v>
      </c>
      <c r="H98" s="12" t="n">
        <f aca="false">25/(G98*24)</f>
        <v>29.8309579052038</v>
      </c>
    </row>
    <row r="99" customFormat="false" ht="13.8" hidden="false" customHeight="false" outlineLevel="0" collapsed="false">
      <c r="F99" s="10"/>
      <c r="G99" s="10"/>
      <c r="H99" s="10"/>
    </row>
    <row r="100" customFormat="false" ht="13.8" hidden="false" customHeight="false" outlineLevel="0" collapsed="false">
      <c r="F100" s="10"/>
      <c r="G100" s="10"/>
      <c r="H100" s="10"/>
    </row>
    <row r="101" customFormat="false" ht="13.8" hidden="false" customHeight="false" outlineLevel="0" collapsed="false">
      <c r="A101" s="0" t="s">
        <v>47</v>
      </c>
      <c r="C101" s="0" t="s">
        <v>10</v>
      </c>
      <c r="D101" s="0" t="s">
        <v>71</v>
      </c>
      <c r="F101" s="10" t="n">
        <v>2006</v>
      </c>
      <c r="G101" s="11" t="n">
        <v>0.0426736111111111</v>
      </c>
      <c r="H101" s="12" t="n">
        <f aca="false">30/(G101*24)</f>
        <v>29.2921074043938</v>
      </c>
    </row>
    <row r="102" customFormat="false" ht="13.8" hidden="false" customHeight="false" outlineLevel="0" collapsed="false">
      <c r="F102" s="10"/>
      <c r="G102" s="10"/>
      <c r="H102" s="10"/>
    </row>
    <row r="103" customFormat="false" ht="13.8" hidden="false" customHeight="false" outlineLevel="0" collapsed="false">
      <c r="A103" s="0" t="s">
        <v>54</v>
      </c>
      <c r="C103" s="0" t="s">
        <v>10</v>
      </c>
      <c r="D103" s="0" t="s">
        <v>82</v>
      </c>
      <c r="F103" s="10" t="n">
        <v>1950</v>
      </c>
      <c r="G103" s="11" t="n">
        <v>0.0786689814814815</v>
      </c>
      <c r="H103" s="12" t="n">
        <f aca="false">50/(G103*24)</f>
        <v>26.4822715904075</v>
      </c>
    </row>
    <row r="104" customFormat="false" ht="13.8" hidden="false" customHeight="false" outlineLevel="0" collapsed="false">
      <c r="F104" s="10"/>
      <c r="G104" s="10"/>
      <c r="H104" s="10"/>
    </row>
    <row r="105" customFormat="false" ht="13.8" hidden="false" customHeight="false" outlineLevel="0" collapsed="false">
      <c r="A105" s="0" t="s">
        <v>59</v>
      </c>
      <c r="C105" s="0" t="s">
        <v>10</v>
      </c>
      <c r="D105" s="0" t="s">
        <v>82</v>
      </c>
      <c r="F105" s="10" t="n">
        <v>1950</v>
      </c>
      <c r="G105" s="11" t="n">
        <v>0.169085648148148</v>
      </c>
      <c r="H105" s="12" t="n">
        <f aca="false">100/(G105*24)</f>
        <v>24.6423437606955</v>
      </c>
    </row>
    <row r="106" customFormat="false" ht="13.8" hidden="false" customHeight="false" outlineLevel="0" collapsed="false">
      <c r="F106" s="10"/>
      <c r="G106" s="10"/>
      <c r="H106" s="10"/>
    </row>
    <row r="107" customFormat="false" ht="13.8" hidden="false" customHeight="false" outlineLevel="0" collapsed="false">
      <c r="A107" s="0" t="s">
        <v>83</v>
      </c>
      <c r="C107" s="0" t="s">
        <v>10</v>
      </c>
      <c r="D107" s="0" t="s">
        <v>84</v>
      </c>
      <c r="F107" s="10" t="n">
        <v>1933</v>
      </c>
      <c r="G107" s="10" t="n">
        <v>235.75</v>
      </c>
      <c r="H107" s="12" t="n">
        <f aca="false">G107/12</f>
        <v>19.6458333333333</v>
      </c>
    </row>
    <row r="108" customFormat="false" ht="13.8" hidden="false" customHeight="false" outlineLevel="0" collapsed="false">
      <c r="F108" s="10"/>
      <c r="G108" s="10"/>
      <c r="H108" s="10"/>
    </row>
    <row r="109" customFormat="false" ht="13.8" hidden="false" customHeight="false" outlineLevel="0" collapsed="false">
      <c r="A109" s="4" t="s">
        <v>85</v>
      </c>
      <c r="F109" s="10"/>
      <c r="G109" s="10"/>
      <c r="H109" s="10"/>
    </row>
    <row r="110" customFormat="false" ht="13.8" hidden="false" customHeight="false" outlineLevel="0" collapsed="false">
      <c r="F110" s="10"/>
      <c r="G110" s="10"/>
      <c r="H110" s="10"/>
    </row>
    <row r="111" customFormat="false" ht="13.8" hidden="false" customHeight="false" outlineLevel="0" collapsed="false">
      <c r="A111" s="3" t="s">
        <v>86</v>
      </c>
      <c r="F111" s="10"/>
      <c r="G111" s="10"/>
      <c r="H111" s="10"/>
    </row>
    <row r="112" customFormat="false" ht="13.8" hidden="false" customHeight="false" outlineLevel="0" collapsed="false">
      <c r="F112" s="10"/>
      <c r="G112" s="10"/>
      <c r="H112" s="10"/>
    </row>
    <row r="113" customFormat="false" ht="13.8" hidden="false" customHeight="false" outlineLevel="0" collapsed="false">
      <c r="A113" s="0" t="s">
        <v>21</v>
      </c>
      <c r="C113" s="0" t="s">
        <v>10</v>
      </c>
      <c r="D113" s="0" t="s">
        <v>87</v>
      </c>
      <c r="F113" s="10" t="n">
        <v>2016</v>
      </c>
      <c r="G113" s="11" t="n">
        <v>0.0140162037037037</v>
      </c>
      <c r="H113" s="12" t="n">
        <f aca="false">10/(G113*24)</f>
        <v>29.7274979355904</v>
      </c>
    </row>
    <row r="114" customFormat="false" ht="13.8" hidden="false" customHeight="false" outlineLevel="0" collapsed="false">
      <c r="C114" s="0" t="s">
        <v>74</v>
      </c>
      <c r="D114" s="0" t="s">
        <v>88</v>
      </c>
      <c r="F114" s="10" t="n">
        <v>2005</v>
      </c>
      <c r="G114" s="11" t="n">
        <v>0.0162384259259259</v>
      </c>
      <c r="H114" s="12" t="n">
        <f aca="false">10/(G114*24)</f>
        <v>25.6593014967926</v>
      </c>
    </row>
    <row r="115" customFormat="false" ht="13.8" hidden="false" customHeight="false" outlineLevel="0" collapsed="false">
      <c r="F115" s="10"/>
      <c r="G115" s="10"/>
      <c r="H115" s="10"/>
    </row>
    <row r="116" customFormat="false" ht="13.8" hidden="false" customHeight="false" outlineLevel="0" collapsed="false">
      <c r="A116" s="0" t="s">
        <v>38</v>
      </c>
      <c r="C116" s="0" t="s">
        <v>10</v>
      </c>
      <c r="D116" s="0" t="s">
        <v>89</v>
      </c>
      <c r="F116" s="10" t="n">
        <v>2009</v>
      </c>
      <c r="G116" s="11" t="n">
        <v>0.0378587962962963</v>
      </c>
      <c r="H116" s="12" t="n">
        <f aca="false">25/(G116*24)</f>
        <v>27.5145215530419</v>
      </c>
    </row>
    <row r="117" customFormat="false" ht="13.8" hidden="false" customHeight="false" outlineLevel="0" collapsed="false">
      <c r="C117" s="0" t="s">
        <v>74</v>
      </c>
      <c r="D117" s="0" t="s">
        <v>90</v>
      </c>
      <c r="F117" s="10" t="n">
        <v>1975</v>
      </c>
      <c r="G117" s="11" t="n">
        <v>0.0396064814814815</v>
      </c>
      <c r="H117" s="12" t="n">
        <f aca="false">25/(G117*24)</f>
        <v>26.3004091174751</v>
      </c>
    </row>
    <row r="118" customFormat="false" ht="13.8" hidden="false" customHeight="false" outlineLevel="0" collapsed="false">
      <c r="C118" s="0" t="s">
        <v>76</v>
      </c>
      <c r="D118" s="0" t="s">
        <v>91</v>
      </c>
      <c r="F118" s="10" t="n">
        <v>1982</v>
      </c>
      <c r="G118" s="11" t="n">
        <v>0.041099537037037</v>
      </c>
      <c r="H118" s="12" t="n">
        <f aca="false">25/(G118*24)</f>
        <v>25.3449732469727</v>
      </c>
    </row>
    <row r="119" customFormat="false" ht="13.8" hidden="false" customHeight="false" outlineLevel="0" collapsed="false">
      <c r="F119" s="10"/>
      <c r="G119" s="10"/>
      <c r="H119" s="10"/>
    </row>
    <row r="120" customFormat="false" ht="13.8" hidden="false" customHeight="false" outlineLevel="0" collapsed="false">
      <c r="A120" s="3" t="s">
        <v>92</v>
      </c>
      <c r="F120" s="10"/>
      <c r="G120" s="10"/>
      <c r="H120" s="10"/>
    </row>
    <row r="121" customFormat="false" ht="13.8" hidden="false" customHeight="false" outlineLevel="0" collapsed="false">
      <c r="F121" s="10"/>
      <c r="G121" s="10"/>
      <c r="H121" s="10"/>
    </row>
    <row r="122" customFormat="false" ht="13.8" hidden="false" customHeight="false" outlineLevel="0" collapsed="false">
      <c r="A122" s="0" t="s">
        <v>21</v>
      </c>
      <c r="D122" s="0" t="s">
        <v>93</v>
      </c>
      <c r="F122" s="10" t="n">
        <v>1990</v>
      </c>
      <c r="G122" s="11" t="n">
        <v>0.0172916666666667</v>
      </c>
      <c r="H122" s="12" t="n">
        <f aca="false">10/(G122*24)</f>
        <v>24.0963855421686</v>
      </c>
    </row>
    <row r="123" customFormat="false" ht="13.8" hidden="false" customHeight="false" outlineLevel="0" collapsed="false">
      <c r="A123" s="0" t="s">
        <v>38</v>
      </c>
      <c r="D123" s="0" t="s">
        <v>94</v>
      </c>
      <c r="F123" s="10" t="n">
        <v>1995</v>
      </c>
      <c r="G123" s="11" t="n">
        <v>0.0454282407407407</v>
      </c>
      <c r="H123" s="12" t="n">
        <f aca="false">25/(G123*24)</f>
        <v>22.9299363057325</v>
      </c>
    </row>
    <row r="124" customFormat="false" ht="13.8" hidden="false" customHeight="false" outlineLevel="0" collapsed="false">
      <c r="A124" s="0" t="s">
        <v>47</v>
      </c>
      <c r="D124" s="0" t="s">
        <v>95</v>
      </c>
      <c r="F124" s="10" t="n">
        <v>1997</v>
      </c>
      <c r="G124" s="11" t="n">
        <v>0.0575810185185185</v>
      </c>
      <c r="H124" s="12" t="n">
        <f aca="false">30/(G124*24)</f>
        <v>21.7085427135678</v>
      </c>
    </row>
    <row r="125" customFormat="false" ht="13.8" hidden="false" customHeight="false" outlineLevel="0" collapsed="false">
      <c r="A125" s="0" t="s">
        <v>54</v>
      </c>
      <c r="D125" s="0" t="s">
        <v>94</v>
      </c>
      <c r="F125" s="10" t="n">
        <v>1995</v>
      </c>
      <c r="G125" s="11" t="n">
        <v>0.0919791666666667</v>
      </c>
      <c r="H125" s="12" t="n">
        <f aca="false">50/(G125*24)</f>
        <v>22.6500566251416</v>
      </c>
    </row>
    <row r="126" customFormat="false" ht="13.8" hidden="false" customHeight="false" outlineLevel="0" collapsed="false">
      <c r="A126" s="0" t="s">
        <v>59</v>
      </c>
      <c r="D126" s="0" t="s">
        <v>94</v>
      </c>
      <c r="F126" s="10" t="n">
        <v>1997</v>
      </c>
      <c r="G126" s="11" t="n">
        <v>0.195578703703704</v>
      </c>
      <c r="H126" s="12" t="n">
        <f aca="false">100/(G126*24)</f>
        <v>21.3042963664339</v>
      </c>
    </row>
    <row r="127" customFormat="false" ht="13.8" hidden="false" customHeight="false" outlineLevel="0" collapsed="false">
      <c r="A127" s="0" t="s">
        <v>83</v>
      </c>
      <c r="D127" s="0" t="s">
        <v>94</v>
      </c>
      <c r="F127" s="10" t="n">
        <v>1995</v>
      </c>
      <c r="G127" s="12" t="n">
        <v>237</v>
      </c>
      <c r="H127" s="12" t="n">
        <f aca="false">G127/12</f>
        <v>19.75</v>
      </c>
    </row>
    <row r="128" customFormat="false" ht="13.8" hidden="false" customHeight="false" outlineLevel="0" collapsed="false">
      <c r="A128" s="0" t="s">
        <v>64</v>
      </c>
      <c r="D128" s="0" t="s">
        <v>96</v>
      </c>
      <c r="F128" s="10" t="n">
        <v>1963</v>
      </c>
      <c r="G128" s="12" t="n">
        <v>414.25</v>
      </c>
      <c r="H128" s="12" t="n">
        <f aca="false">G128/24</f>
        <v>17.2604166666667</v>
      </c>
    </row>
    <row r="129" customFormat="false" ht="13.8" hidden="false" customHeight="false" outlineLevel="0" collapsed="false">
      <c r="F129" s="10"/>
      <c r="G129" s="10"/>
      <c r="H129" s="10"/>
    </row>
    <row r="130" customFormat="false" ht="13.8" hidden="false" customHeight="false" outlineLevel="0" collapsed="false">
      <c r="A130" s="3" t="s">
        <v>97</v>
      </c>
      <c r="F130" s="10"/>
      <c r="G130" s="10"/>
      <c r="H130" s="10"/>
    </row>
    <row r="131" customFormat="false" ht="13.8" hidden="false" customHeight="false" outlineLevel="0" collapsed="false">
      <c r="F131" s="10"/>
      <c r="G131" s="10"/>
      <c r="H131" s="10"/>
    </row>
    <row r="132" customFormat="false" ht="13.8" hidden="false" customHeight="false" outlineLevel="0" collapsed="false">
      <c r="A132" s="0" t="s">
        <v>98</v>
      </c>
      <c r="D132" s="0" t="s">
        <v>99</v>
      </c>
      <c r="F132" s="10" t="n">
        <v>2006</v>
      </c>
      <c r="G132" s="15" t="n">
        <v>0.000849745370370371</v>
      </c>
      <c r="H132" s="13" t="n">
        <f aca="false">(3600/(MINUTE(G132)*60+SECOND(G132)))/1.60934</f>
        <v>30.6430390676617</v>
      </c>
      <c r="I132" s="16"/>
    </row>
    <row r="133" customFormat="false" ht="13.8" hidden="false" customHeight="false" outlineLevel="0" collapsed="false">
      <c r="A133" s="0" t="s">
        <v>100</v>
      </c>
      <c r="D133" s="0" t="s">
        <v>101</v>
      </c>
      <c r="F133" s="10" t="n">
        <v>2002</v>
      </c>
      <c r="G133" s="15" t="n">
        <v>0.00269726851851852</v>
      </c>
      <c r="H133" s="13" t="n">
        <f aca="false">(3600/(MINUTE(G133)*60+SECOND(G133)))/1.60934*3</f>
        <v>28.8018264198194</v>
      </c>
    </row>
    <row r="134" customFormat="false" ht="13.8" hidden="false" customHeight="false" outlineLevel="0" collapsed="false">
      <c r="F134" s="10"/>
      <c r="G134" s="10"/>
      <c r="H134" s="10"/>
    </row>
    <row r="136" customFormat="false" ht="13.8" hidden="false" customHeight="false" outlineLevel="0" collapsed="false">
      <c r="A136" s="3" t="s">
        <v>102</v>
      </c>
      <c r="D136" s="3" t="s">
        <v>103</v>
      </c>
    </row>
    <row r="138" customFormat="false" ht="13.8" hidden="false" customHeight="false" outlineLevel="0" collapsed="false">
      <c r="B138" s="0" t="s">
        <v>9</v>
      </c>
      <c r="C138" s="0" t="s">
        <v>10</v>
      </c>
      <c r="D138" s="0" t="s">
        <v>104</v>
      </c>
      <c r="F138" s="0" t="n">
        <v>1974</v>
      </c>
      <c r="G138" s="17" t="n">
        <v>0.000988425925925926</v>
      </c>
    </row>
    <row r="139" customFormat="false" ht="13.8" hidden="false" customHeight="false" outlineLevel="0" collapsed="false">
      <c r="C139" s="0" t="s">
        <v>12</v>
      </c>
      <c r="D139" s="0" t="s">
        <v>49</v>
      </c>
      <c r="F139" s="0" t="n">
        <v>1990</v>
      </c>
      <c r="G139" s="17" t="n">
        <v>0.00111111111111111</v>
      </c>
    </row>
    <row r="140" customFormat="false" ht="13.8" hidden="false" customHeight="false" outlineLevel="0" collapsed="false">
      <c r="C140" s="0" t="s">
        <v>14</v>
      </c>
      <c r="D140" s="0" t="s">
        <v>104</v>
      </c>
      <c r="F140" s="0" t="n">
        <v>1970</v>
      </c>
      <c r="G140" s="17" t="n">
        <v>0.0011412037037037</v>
      </c>
    </row>
    <row r="141" customFormat="false" ht="13.8" hidden="false" customHeight="false" outlineLevel="0" collapsed="false">
      <c r="B141" s="0" t="s">
        <v>17</v>
      </c>
      <c r="C141" s="0" t="s">
        <v>10</v>
      </c>
      <c r="D141" s="0" t="s">
        <v>105</v>
      </c>
      <c r="F141" s="0" t="n">
        <v>1977</v>
      </c>
      <c r="G141" s="17" t="n">
        <v>0.00132638888888889</v>
      </c>
    </row>
    <row r="142" customFormat="false" ht="13.8" hidden="false" customHeight="false" outlineLevel="0" collapsed="false">
      <c r="C142" s="0" t="s">
        <v>12</v>
      </c>
      <c r="D142" s="0" t="s">
        <v>106</v>
      </c>
      <c r="F142" s="0" t="n">
        <v>1979</v>
      </c>
      <c r="G142" s="17" t="n">
        <v>0.00144212962962963</v>
      </c>
    </row>
    <row r="143" customFormat="false" ht="13.8" hidden="false" customHeight="false" outlineLevel="0" collapsed="false">
      <c r="C143" s="0" t="s">
        <v>14</v>
      </c>
      <c r="D143" s="0" t="s">
        <v>107</v>
      </c>
      <c r="F143" s="0" t="n">
        <v>1979</v>
      </c>
      <c r="G143" s="17" t="n">
        <v>0.00144212962962963</v>
      </c>
    </row>
    <row r="145" customFormat="false" ht="13.8" hidden="false" customHeight="false" outlineLevel="0" collapsed="false">
      <c r="D145" s="3" t="s">
        <v>108</v>
      </c>
    </row>
    <row r="147" customFormat="false" ht="13.8" hidden="false" customHeight="false" outlineLevel="0" collapsed="false">
      <c r="B147" s="0" t="s">
        <v>9</v>
      </c>
      <c r="C147" s="0" t="s">
        <v>10</v>
      </c>
      <c r="D147" s="0" t="s">
        <v>65</v>
      </c>
      <c r="F147" s="0" t="n">
        <v>2024</v>
      </c>
      <c r="G147" s="18" t="n">
        <v>0.195138888888889</v>
      </c>
    </row>
    <row r="148" customFormat="false" ht="13.8" hidden="false" customHeight="false" outlineLevel="0" collapsed="false">
      <c r="C148" s="0" t="s">
        <v>12</v>
      </c>
      <c r="D148" s="0" t="s">
        <v>109</v>
      </c>
      <c r="F148" s="0" t="n">
        <v>2024</v>
      </c>
      <c r="G148" s="18" t="n">
        <v>0.222222222222222</v>
      </c>
    </row>
    <row r="149" customFormat="false" ht="13.8" hidden="false" customHeight="false" outlineLevel="0" collapsed="false">
      <c r="C149" s="0" t="s">
        <v>14</v>
      </c>
    </row>
    <row r="150" customFormat="false" ht="13.8" hidden="false" customHeight="false" outlineLevel="0" collapsed="false">
      <c r="B150" s="0" t="s">
        <v>17</v>
      </c>
      <c r="C150" s="0" t="s">
        <v>10</v>
      </c>
      <c r="D150" s="6" t="s">
        <v>18</v>
      </c>
      <c r="E150" s="6"/>
      <c r="F150" s="6" t="n">
        <v>2025</v>
      </c>
      <c r="G150" s="19" t="n">
        <v>0.233333333333333</v>
      </c>
    </row>
    <row r="151" customFormat="false" ht="13.8" hidden="false" customHeight="false" outlineLevel="0" collapsed="false">
      <c r="C151" s="0" t="s">
        <v>12</v>
      </c>
    </row>
    <row r="152" customFormat="false" ht="13.8" hidden="false" customHeight="false" outlineLevel="0" collapsed="false">
      <c r="C152" s="0" t="s">
        <v>14</v>
      </c>
    </row>
  </sheetData>
  <printOptions headings="false" gridLines="false" gridLinesSet="true" horizontalCentered="false" verticalCentered="false"/>
  <pageMargins left="0.296527777777778" right="0.207638888888889" top="0.252777777777778" bottom="0.195833333333333" header="0.511811023622047" footer="0.511811023622047"/>
  <pageSetup paperSize="9" scale="5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2024-09-13T13:57:03Z</dcterms:created>
  <dc:creator>Colin Lizieri</dc:creator>
  <dc:description/>
  <dc:language>en-GB</dc:language>
  <cp:lastModifiedBy/>
  <dcterms:modified xsi:type="dcterms:W3CDTF">2026-01-07T17:12:03Z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